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nse\nse_base_ver\"/>
    </mc:Choice>
  </mc:AlternateContent>
  <xr:revisionPtr revIDLastSave="0" documentId="13_ncr:1_{5443BEF5-038F-4587-8E5E-05563AE1E494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MAINOI" sheetId="1" r:id="rId1"/>
    <sheet name="Data" sheetId="2" r:id="rId2"/>
    <sheet name="Strategy" sheetId="3" r:id="rId3"/>
    <sheet name="Link" sheetId="4" r:id="rId4"/>
    <sheet name="Records" sheetId="5" r:id="rId5"/>
  </sheets>
  <definedNames>
    <definedName name="_xlcn.WorksheetConnection_RecordsI3M431" hidden="1">Records!$I$3:$M$43</definedName>
    <definedName name="C_SPRIZE">#REF!</definedName>
    <definedName name="CHNG">#REF!</definedName>
    <definedName name="IO">#REF!</definedName>
    <definedName name="P_SPRIZE">#REF!</definedName>
    <definedName name="PCR">#REF!</definedName>
    <definedName name="V">#REF!</definedName>
  </definedNames>
  <calcPr calcId="191029"/>
</workbook>
</file>

<file path=xl/calcChain.xml><?xml version="1.0" encoding="utf-8"?>
<calcChain xmlns="http://schemas.openxmlformats.org/spreadsheetml/2006/main">
  <c r="B150" i="2" l="1"/>
  <c r="A150" i="2"/>
  <c r="B149" i="2"/>
  <c r="A149" i="2"/>
  <c r="B148" i="2"/>
  <c r="A148" i="2"/>
  <c r="B147" i="2"/>
  <c r="A147" i="2"/>
  <c r="B146" i="2"/>
  <c r="A146" i="2"/>
  <c r="B145" i="2"/>
  <c r="A145" i="2"/>
  <c r="B144" i="2"/>
  <c r="A144" i="2"/>
  <c r="B143" i="2"/>
  <c r="A143" i="2"/>
  <c r="B142" i="2"/>
  <c r="A142" i="2"/>
  <c r="B141" i="2"/>
  <c r="A141" i="2"/>
  <c r="B140" i="2"/>
  <c r="A140" i="2"/>
  <c r="B139" i="2"/>
  <c r="A139" i="2"/>
  <c r="B138" i="2"/>
  <c r="A138" i="2"/>
  <c r="B137" i="2"/>
  <c r="A137" i="2"/>
  <c r="B136" i="2"/>
  <c r="A136" i="2"/>
  <c r="B135" i="2"/>
  <c r="A135" i="2"/>
  <c r="B134" i="2"/>
  <c r="A134" i="2"/>
  <c r="B133" i="2"/>
  <c r="A133" i="2"/>
  <c r="B132" i="2"/>
  <c r="A132" i="2"/>
  <c r="B131" i="2"/>
  <c r="A131" i="2"/>
  <c r="B130" i="2"/>
  <c r="A130" i="2"/>
  <c r="B129" i="2"/>
  <c r="A129" i="2"/>
  <c r="B128" i="2"/>
  <c r="A128" i="2"/>
  <c r="B127" i="2"/>
  <c r="A127" i="2"/>
  <c r="B126" i="2"/>
  <c r="A126" i="2"/>
  <c r="B125" i="2"/>
  <c r="A125" i="2"/>
  <c r="B124" i="2"/>
  <c r="A124" i="2"/>
  <c r="B123" i="2"/>
  <c r="A123" i="2"/>
  <c r="B122" i="2"/>
  <c r="A122" i="2"/>
  <c r="B121" i="2"/>
  <c r="A121" i="2"/>
  <c r="B120" i="2"/>
  <c r="A120" i="2"/>
  <c r="B119" i="2"/>
  <c r="A119" i="2"/>
  <c r="B118" i="2"/>
  <c r="A118" i="2"/>
  <c r="B117" i="2"/>
  <c r="A117" i="2"/>
  <c r="B116" i="2"/>
  <c r="A116" i="2"/>
  <c r="B115" i="2"/>
  <c r="A115" i="2"/>
  <c r="B114" i="2"/>
  <c r="A114" i="2"/>
  <c r="B113" i="2"/>
  <c r="A113" i="2"/>
  <c r="B112" i="2"/>
  <c r="A112" i="2"/>
  <c r="B111" i="2"/>
  <c r="A111" i="2"/>
  <c r="B110" i="2"/>
  <c r="A110" i="2"/>
  <c r="B109" i="2"/>
  <c r="A109" i="2"/>
  <c r="B108" i="2"/>
  <c r="A108" i="2"/>
  <c r="B107" i="2"/>
  <c r="A107" i="2"/>
  <c r="B106" i="2"/>
  <c r="A106" i="2"/>
  <c r="B105" i="2"/>
  <c r="A105" i="2"/>
  <c r="B104" i="2"/>
  <c r="A104" i="2"/>
  <c r="B103" i="2"/>
  <c r="A103" i="2"/>
  <c r="B102" i="2"/>
  <c r="A102" i="2"/>
  <c r="B101" i="2"/>
  <c r="A101" i="2"/>
  <c r="B100" i="2"/>
  <c r="A100" i="2"/>
  <c r="B99" i="2"/>
  <c r="A99" i="2"/>
  <c r="B98" i="2"/>
  <c r="A98" i="2"/>
  <c r="B97" i="2"/>
  <c r="A97" i="2"/>
  <c r="B96" i="2"/>
  <c r="A96" i="2"/>
  <c r="B95" i="2"/>
  <c r="A95" i="2"/>
  <c r="B94" i="2"/>
  <c r="A94" i="2"/>
  <c r="B93" i="2"/>
  <c r="A93" i="2"/>
  <c r="B92" i="2"/>
  <c r="A92" i="2"/>
  <c r="B91" i="2"/>
  <c r="A91" i="2"/>
  <c r="B90" i="2"/>
  <c r="A90" i="2"/>
  <c r="B89" i="2"/>
  <c r="A89" i="2"/>
  <c r="B88" i="2"/>
  <c r="A88" i="2"/>
  <c r="B87" i="2"/>
  <c r="A87" i="2"/>
  <c r="B86" i="2"/>
  <c r="A86" i="2"/>
  <c r="B85" i="2"/>
  <c r="A85" i="2"/>
  <c r="B84" i="2"/>
  <c r="A84" i="2"/>
  <c r="B83" i="2"/>
  <c r="A83" i="2"/>
  <c r="B82" i="2"/>
  <c r="A82" i="2"/>
  <c r="B81" i="2"/>
  <c r="A81" i="2"/>
  <c r="B80" i="2"/>
  <c r="A80" i="2"/>
  <c r="B79" i="2"/>
  <c r="A79" i="2"/>
  <c r="B78" i="2"/>
  <c r="A78" i="2"/>
  <c r="B77" i="2"/>
  <c r="A77" i="2"/>
  <c r="B76" i="2"/>
  <c r="A76" i="2"/>
  <c r="B75" i="2"/>
  <c r="A75" i="2"/>
  <c r="B74" i="2"/>
  <c r="A74" i="2"/>
  <c r="B73" i="2"/>
  <c r="A73" i="2"/>
  <c r="B72" i="2"/>
  <c r="A72" i="2"/>
  <c r="B71" i="2"/>
  <c r="A71" i="2"/>
  <c r="B70" i="2"/>
  <c r="A70" i="2"/>
  <c r="B69" i="2"/>
  <c r="A69" i="2"/>
  <c r="B68" i="2"/>
  <c r="A68" i="2"/>
  <c r="B67" i="2"/>
  <c r="A67" i="2"/>
  <c r="B66" i="2"/>
  <c r="A66" i="2"/>
  <c r="B65" i="2"/>
  <c r="A65" i="2"/>
  <c r="B64" i="2"/>
  <c r="A64" i="2"/>
  <c r="B63" i="2"/>
  <c r="A63" i="2"/>
  <c r="B62" i="2"/>
  <c r="A62" i="2"/>
  <c r="B61" i="2"/>
  <c r="A61" i="2"/>
  <c r="B60" i="2"/>
  <c r="A60" i="2"/>
  <c r="B59" i="2"/>
  <c r="A59" i="2"/>
  <c r="B58" i="2"/>
  <c r="A58" i="2"/>
  <c r="B57" i="2"/>
  <c r="A57" i="2"/>
  <c r="B56" i="2"/>
  <c r="A56" i="2"/>
  <c r="B55" i="2"/>
  <c r="A55" i="2"/>
  <c r="B54" i="2"/>
  <c r="A54" i="2"/>
  <c r="B53" i="2"/>
  <c r="A53" i="2"/>
  <c r="B52" i="2"/>
  <c r="A52" i="2"/>
  <c r="B51" i="2"/>
  <c r="A51" i="2"/>
  <c r="B50" i="2"/>
  <c r="A50" i="2"/>
  <c r="B49" i="2"/>
  <c r="A49" i="2"/>
  <c r="B48" i="2"/>
  <c r="A48" i="2"/>
  <c r="B47" i="2"/>
  <c r="A47" i="2"/>
  <c r="B46" i="2"/>
  <c r="A46" i="2"/>
  <c r="B45" i="2"/>
  <c r="A45" i="2"/>
  <c r="B44" i="2"/>
  <c r="A44" i="2"/>
  <c r="B43" i="2"/>
  <c r="A43" i="2"/>
  <c r="B42" i="2"/>
  <c r="A42" i="2"/>
  <c r="B41" i="2"/>
  <c r="A41" i="2"/>
  <c r="B40" i="2"/>
  <c r="A40" i="2"/>
  <c r="B39" i="2"/>
  <c r="A39" i="2"/>
  <c r="B38" i="2"/>
  <c r="A38" i="2"/>
  <c r="B37" i="2"/>
  <c r="A37" i="2"/>
  <c r="B36" i="2"/>
  <c r="A36" i="2"/>
  <c r="B35" i="2"/>
  <c r="A35" i="2"/>
  <c r="B34" i="2"/>
  <c r="A34" i="2"/>
  <c r="B33" i="2"/>
  <c r="A33" i="2"/>
  <c r="B32" i="2"/>
  <c r="A32" i="2"/>
  <c r="B31" i="2"/>
  <c r="A31" i="2"/>
  <c r="B30" i="2"/>
  <c r="A30" i="2"/>
  <c r="B29" i="2"/>
  <c r="A29" i="2"/>
  <c r="B28" i="2"/>
  <c r="A28" i="2"/>
  <c r="B27" i="2"/>
  <c r="A27" i="2"/>
  <c r="B26" i="2"/>
  <c r="A26" i="2"/>
  <c r="B25" i="2"/>
  <c r="A25" i="2"/>
  <c r="B24" i="2"/>
  <c r="A24" i="2"/>
  <c r="B23" i="2"/>
  <c r="A23" i="2"/>
  <c r="B22" i="2"/>
  <c r="A22" i="2"/>
  <c r="B21" i="2"/>
  <c r="A21" i="2"/>
  <c r="B20" i="2"/>
  <c r="A20" i="2"/>
  <c r="B19" i="2"/>
  <c r="A19" i="2"/>
  <c r="B18" i="2"/>
  <c r="A18" i="2"/>
  <c r="B17" i="2"/>
  <c r="A17" i="2"/>
  <c r="B16" i="2"/>
  <c r="A16" i="2"/>
  <c r="B15" i="2"/>
  <c r="A15" i="2"/>
  <c r="B14" i="2"/>
  <c r="A14" i="2"/>
  <c r="B13" i="2"/>
  <c r="A13" i="2"/>
  <c r="B12" i="2"/>
  <c r="A12" i="2"/>
  <c r="B11" i="2"/>
  <c r="A11" i="2"/>
  <c r="B10" i="2"/>
  <c r="A10" i="2"/>
  <c r="B9" i="2"/>
  <c r="A9" i="2"/>
  <c r="B8" i="2"/>
  <c r="A8" i="2"/>
  <c r="B7" i="2"/>
  <c r="A7" i="2"/>
  <c r="B6" i="2"/>
  <c r="A6" i="2"/>
  <c r="A4" i="2"/>
  <c r="A5" i="2" s="1"/>
  <c r="M18" i="1" s="1"/>
  <c r="A2" i="2"/>
  <c r="A1" i="2"/>
  <c r="A11" i="3" l="1"/>
  <c r="A10" i="3"/>
  <c r="A9" i="3"/>
  <c r="A8" i="3"/>
  <c r="A6" i="3"/>
  <c r="A5" i="3"/>
  <c r="A4" i="3"/>
  <c r="A3" i="3"/>
  <c r="K3" i="1"/>
  <c r="M3" i="1"/>
  <c r="Q3" i="1"/>
  <c r="R33" i="1"/>
  <c r="Q33" i="1"/>
  <c r="I33" i="1"/>
  <c r="H33" i="1"/>
  <c r="AA31" i="1"/>
  <c r="AB31" i="1" s="1"/>
  <c r="U6" i="1"/>
  <c r="T6" i="1"/>
  <c r="S6" i="1"/>
  <c r="AO31" i="1" l="1"/>
  <c r="X33" i="1"/>
  <c r="AN31" i="1" s="1"/>
  <c r="M19" i="1" l="1"/>
  <c r="B18" i="1"/>
  <c r="A18" i="1"/>
  <c r="M17" i="1"/>
  <c r="B17" i="1" l="1"/>
  <c r="A17" i="1"/>
  <c r="M16" i="1"/>
  <c r="L18" i="1"/>
  <c r="K18" i="1"/>
  <c r="J18" i="1"/>
  <c r="F18" i="1" s="1"/>
  <c r="H18" i="1"/>
  <c r="I18" i="1"/>
  <c r="O18" i="1"/>
  <c r="N18" i="1"/>
  <c r="P18" i="1"/>
  <c r="T18" i="1" s="1"/>
  <c r="R18" i="1"/>
  <c r="Q18" i="1"/>
  <c r="M20" i="1"/>
  <c r="B19" i="1"/>
  <c r="A19" i="1"/>
  <c r="U18" i="1" l="1"/>
  <c r="S18" i="1"/>
  <c r="E18" i="1"/>
  <c r="G18" i="1"/>
  <c r="L19" i="1"/>
  <c r="K19" i="1"/>
  <c r="I19" i="1"/>
  <c r="J19" i="1"/>
  <c r="F19" i="1" s="1"/>
  <c r="H19" i="1"/>
  <c r="N19" i="1"/>
  <c r="P19" i="1"/>
  <c r="T19" i="1" s="1"/>
  <c r="O19" i="1"/>
  <c r="Q19" i="1"/>
  <c r="R19" i="1"/>
  <c r="B16" i="1"/>
  <c r="A16" i="1"/>
  <c r="M15" i="1"/>
  <c r="A20" i="1"/>
  <c r="M21" i="1"/>
  <c r="B20" i="1"/>
  <c r="J17" i="1"/>
  <c r="F17" i="1" s="1"/>
  <c r="I17" i="1"/>
  <c r="H17" i="1"/>
  <c r="K17" i="1"/>
  <c r="L17" i="1"/>
  <c r="X18" i="1"/>
  <c r="Y18" i="1" s="1"/>
  <c r="P17" i="1"/>
  <c r="T17" i="1" s="1"/>
  <c r="O17" i="1"/>
  <c r="N17" i="1"/>
  <c r="R17" i="1"/>
  <c r="Q17" i="1"/>
  <c r="M22" i="1" l="1"/>
  <c r="B21" i="1"/>
  <c r="A21" i="1"/>
  <c r="G19" i="1"/>
  <c r="E19" i="1"/>
  <c r="X17" i="1"/>
  <c r="Y17" i="1" s="1"/>
  <c r="M14" i="1"/>
  <c r="B15" i="1"/>
  <c r="A15" i="1"/>
  <c r="U17" i="1"/>
  <c r="S17" i="1"/>
  <c r="L16" i="1"/>
  <c r="K16" i="1"/>
  <c r="J16" i="1"/>
  <c r="F16" i="1" s="1"/>
  <c r="H16" i="1"/>
  <c r="I16" i="1"/>
  <c r="G17" i="1"/>
  <c r="E17" i="1"/>
  <c r="R20" i="1"/>
  <c r="N20" i="1"/>
  <c r="Q20" i="1"/>
  <c r="P20" i="1"/>
  <c r="T20" i="1" s="1"/>
  <c r="O20" i="1"/>
  <c r="Q16" i="1"/>
  <c r="P16" i="1"/>
  <c r="T16" i="1" s="1"/>
  <c r="O16" i="1"/>
  <c r="N16" i="1"/>
  <c r="R16" i="1"/>
  <c r="C18" i="1"/>
  <c r="D18" i="1"/>
  <c r="L20" i="1"/>
  <c r="K20" i="1"/>
  <c r="J20" i="1"/>
  <c r="F20" i="1" s="1"/>
  <c r="H20" i="1"/>
  <c r="I20" i="1"/>
  <c r="S19" i="1"/>
  <c r="U19" i="1"/>
  <c r="X19" i="1"/>
  <c r="Y19" i="1" s="1"/>
  <c r="V18" i="1"/>
  <c r="W18" i="1"/>
  <c r="X16" i="1" l="1"/>
  <c r="Y16" i="1" s="1"/>
  <c r="G20" i="1"/>
  <c r="E20" i="1"/>
  <c r="R15" i="1"/>
  <c r="Q15" i="1"/>
  <c r="P15" i="1"/>
  <c r="T15" i="1" s="1"/>
  <c r="O15" i="1"/>
  <c r="N15" i="1"/>
  <c r="B14" i="1"/>
  <c r="A14" i="1"/>
  <c r="M13" i="1"/>
  <c r="I15" i="1"/>
  <c r="H15" i="1"/>
  <c r="L15" i="1"/>
  <c r="J15" i="1"/>
  <c r="F15" i="1" s="1"/>
  <c r="K15" i="1"/>
  <c r="C19" i="1"/>
  <c r="D19" i="1"/>
  <c r="D17" i="1"/>
  <c r="C17" i="1"/>
  <c r="L21" i="1"/>
  <c r="K21" i="1"/>
  <c r="J21" i="1"/>
  <c r="F21" i="1" s="1"/>
  <c r="I21" i="1"/>
  <c r="H21" i="1"/>
  <c r="U20" i="1"/>
  <c r="S20" i="1"/>
  <c r="W17" i="1"/>
  <c r="V17" i="1"/>
  <c r="S16" i="1"/>
  <c r="U16" i="1"/>
  <c r="R21" i="1"/>
  <c r="Q21" i="1"/>
  <c r="O21" i="1"/>
  <c r="P21" i="1"/>
  <c r="T21" i="1" s="1"/>
  <c r="N21" i="1"/>
  <c r="X20" i="1"/>
  <c r="Y20" i="1" s="1"/>
  <c r="W19" i="1"/>
  <c r="V19" i="1"/>
  <c r="E16" i="1"/>
  <c r="G16" i="1"/>
  <c r="B22" i="1"/>
  <c r="M23" i="1"/>
  <c r="A22" i="1"/>
  <c r="A13" i="1" l="1"/>
  <c r="B13" i="1"/>
  <c r="M12" i="1"/>
  <c r="U21" i="1"/>
  <c r="S21" i="1"/>
  <c r="K14" i="1"/>
  <c r="L14" i="1"/>
  <c r="J14" i="1"/>
  <c r="F14" i="1" s="1"/>
  <c r="I14" i="1"/>
  <c r="H14" i="1"/>
  <c r="K22" i="1"/>
  <c r="J22" i="1"/>
  <c r="F22" i="1" s="1"/>
  <c r="I22" i="1"/>
  <c r="H22" i="1"/>
  <c r="L22" i="1"/>
  <c r="X21" i="1"/>
  <c r="Y21" i="1" s="1"/>
  <c r="A23" i="1"/>
  <c r="M24" i="1"/>
  <c r="B23" i="1"/>
  <c r="Q22" i="1"/>
  <c r="P22" i="1"/>
  <c r="T22" i="1" s="1"/>
  <c r="R22" i="1"/>
  <c r="O22" i="1"/>
  <c r="N22" i="1"/>
  <c r="X15" i="1"/>
  <c r="Y15" i="1" s="1"/>
  <c r="E21" i="1"/>
  <c r="G21" i="1"/>
  <c r="R14" i="1"/>
  <c r="Q14" i="1"/>
  <c r="P14" i="1"/>
  <c r="T14" i="1" s="1"/>
  <c r="N14" i="1"/>
  <c r="O14" i="1"/>
  <c r="U15" i="1"/>
  <c r="S15" i="1"/>
  <c r="E15" i="1"/>
  <c r="G15" i="1"/>
  <c r="V16" i="1"/>
  <c r="W16" i="1"/>
  <c r="D20" i="1"/>
  <c r="C20" i="1"/>
  <c r="C16" i="1"/>
  <c r="D16" i="1"/>
  <c r="W20" i="1"/>
  <c r="V20" i="1"/>
  <c r="X22" i="1" l="1"/>
  <c r="Y22" i="1" s="1"/>
  <c r="G22" i="1"/>
  <c r="E22" i="1"/>
  <c r="G14" i="1"/>
  <c r="E14" i="1"/>
  <c r="D15" i="1"/>
  <c r="C15" i="1"/>
  <c r="V15" i="1"/>
  <c r="W15" i="1"/>
  <c r="X14" i="1"/>
  <c r="Y14" i="1" s="1"/>
  <c r="W21" i="1"/>
  <c r="V21" i="1"/>
  <c r="A24" i="1"/>
  <c r="B24" i="1"/>
  <c r="M25" i="1"/>
  <c r="M11" i="1"/>
  <c r="B12" i="1"/>
  <c r="A12" i="1"/>
  <c r="S14" i="1"/>
  <c r="U14" i="1"/>
  <c r="N23" i="1"/>
  <c r="Q23" i="1"/>
  <c r="R23" i="1"/>
  <c r="P23" i="1"/>
  <c r="T23" i="1" s="1"/>
  <c r="O23" i="1"/>
  <c r="J23" i="1"/>
  <c r="F23" i="1" s="1"/>
  <c r="I23" i="1"/>
  <c r="H23" i="1"/>
  <c r="K23" i="1"/>
  <c r="L23" i="1"/>
  <c r="R13" i="1"/>
  <c r="Q13" i="1"/>
  <c r="P13" i="1"/>
  <c r="T13" i="1" s="1"/>
  <c r="O13" i="1"/>
  <c r="N13" i="1"/>
  <c r="U22" i="1"/>
  <c r="S22" i="1"/>
  <c r="D21" i="1"/>
  <c r="C21" i="1"/>
  <c r="H13" i="1"/>
  <c r="I13" i="1"/>
  <c r="J13" i="1"/>
  <c r="F13" i="1" s="1"/>
  <c r="L13" i="1"/>
  <c r="K13" i="1"/>
  <c r="X13" i="1" l="1"/>
  <c r="Y13" i="1" s="1"/>
  <c r="X23" i="1"/>
  <c r="Y23" i="1" s="1"/>
  <c r="U23" i="1"/>
  <c r="S23" i="1"/>
  <c r="G13" i="1"/>
  <c r="E13" i="1"/>
  <c r="G23" i="1"/>
  <c r="E23" i="1"/>
  <c r="R12" i="1"/>
  <c r="P12" i="1"/>
  <c r="T12" i="1" s="1"/>
  <c r="O12" i="1"/>
  <c r="N12" i="1"/>
  <c r="Q12" i="1"/>
  <c r="D14" i="1"/>
  <c r="C14" i="1"/>
  <c r="W22" i="1"/>
  <c r="V22" i="1"/>
  <c r="W14" i="1"/>
  <c r="V14" i="1"/>
  <c r="I12" i="1"/>
  <c r="H12" i="1"/>
  <c r="L12" i="1"/>
  <c r="K12" i="1"/>
  <c r="J12" i="1"/>
  <c r="F12" i="1" s="1"/>
  <c r="A11" i="1"/>
  <c r="B11" i="1"/>
  <c r="M10" i="1"/>
  <c r="I24" i="1"/>
  <c r="H24" i="1"/>
  <c r="K24" i="1"/>
  <c r="J24" i="1"/>
  <c r="F24" i="1" s="1"/>
  <c r="L24" i="1"/>
  <c r="S13" i="1"/>
  <c r="U13" i="1"/>
  <c r="M26" i="1"/>
  <c r="B25" i="1"/>
  <c r="A25" i="1"/>
  <c r="D22" i="1"/>
  <c r="C22" i="1"/>
  <c r="R24" i="1"/>
  <c r="O24" i="1"/>
  <c r="N24" i="1"/>
  <c r="Q24" i="1"/>
  <c r="P24" i="1"/>
  <c r="T24" i="1" s="1"/>
  <c r="X12" i="1" l="1"/>
  <c r="Y12" i="1" s="1"/>
  <c r="X24" i="1"/>
  <c r="Y24" i="1" s="1"/>
  <c r="H25" i="1"/>
  <c r="J25" i="1"/>
  <c r="F25" i="1" s="1"/>
  <c r="I25" i="1"/>
  <c r="L25" i="1"/>
  <c r="K25" i="1"/>
  <c r="R25" i="1"/>
  <c r="Q25" i="1"/>
  <c r="P25" i="1"/>
  <c r="T25" i="1" s="1"/>
  <c r="O25" i="1"/>
  <c r="N25" i="1"/>
  <c r="A26" i="1"/>
  <c r="B26" i="1"/>
  <c r="M27" i="1"/>
  <c r="U12" i="1"/>
  <c r="S12" i="1"/>
  <c r="G12" i="1"/>
  <c r="E12" i="1"/>
  <c r="G24" i="1"/>
  <c r="E24" i="1"/>
  <c r="C13" i="1"/>
  <c r="D13" i="1"/>
  <c r="W13" i="1"/>
  <c r="V13" i="1"/>
  <c r="D23" i="1"/>
  <c r="C23" i="1"/>
  <c r="U24" i="1"/>
  <c r="S24" i="1"/>
  <c r="Q11" i="1"/>
  <c r="O11" i="1"/>
  <c r="N11" i="1"/>
  <c r="P11" i="1"/>
  <c r="T11" i="1" s="1"/>
  <c r="R11" i="1"/>
  <c r="J11" i="1"/>
  <c r="F11" i="1" s="1"/>
  <c r="I11" i="1"/>
  <c r="H11" i="1"/>
  <c r="L11" i="1"/>
  <c r="K11" i="1"/>
  <c r="M9" i="1"/>
  <c r="B10" i="1"/>
  <c r="A10" i="1"/>
  <c r="V23" i="1"/>
  <c r="W23" i="1"/>
  <c r="X25" i="1" l="1"/>
  <c r="Y25" i="1" s="1"/>
  <c r="L26" i="1"/>
  <c r="K26" i="1"/>
  <c r="J26" i="1"/>
  <c r="F26" i="1" s="1"/>
  <c r="I26" i="1"/>
  <c r="H26" i="1"/>
  <c r="G25" i="1"/>
  <c r="E25" i="1"/>
  <c r="R26" i="1"/>
  <c r="Q26" i="1"/>
  <c r="P26" i="1"/>
  <c r="T26" i="1" s="1"/>
  <c r="O26" i="1"/>
  <c r="N26" i="1"/>
  <c r="D24" i="1"/>
  <c r="C24" i="1"/>
  <c r="K10" i="1"/>
  <c r="J10" i="1"/>
  <c r="F10" i="1" s="1"/>
  <c r="I10" i="1"/>
  <c r="H10" i="1"/>
  <c r="L10" i="1"/>
  <c r="S25" i="1"/>
  <c r="U25" i="1"/>
  <c r="D12" i="1"/>
  <c r="C12" i="1"/>
  <c r="R10" i="1"/>
  <c r="Q10" i="1"/>
  <c r="N10" i="1"/>
  <c r="P10" i="1"/>
  <c r="T10" i="1" s="1"/>
  <c r="O10" i="1"/>
  <c r="X11" i="1"/>
  <c r="Y11" i="1" s="1"/>
  <c r="M8" i="1"/>
  <c r="A9" i="1"/>
  <c r="B9" i="1"/>
  <c r="W12" i="1"/>
  <c r="V12" i="1"/>
  <c r="U11" i="1"/>
  <c r="S11" i="1"/>
  <c r="W24" i="1"/>
  <c r="V24" i="1"/>
  <c r="G11" i="1"/>
  <c r="E11" i="1"/>
  <c r="B27" i="1"/>
  <c r="M28" i="1"/>
  <c r="A27" i="1"/>
  <c r="X26" i="1" l="1"/>
  <c r="Y26" i="1" s="1"/>
  <c r="V11" i="1"/>
  <c r="W11" i="1"/>
  <c r="L27" i="1"/>
  <c r="K27" i="1"/>
  <c r="I27" i="1"/>
  <c r="J27" i="1"/>
  <c r="F27" i="1" s="1"/>
  <c r="H27" i="1"/>
  <c r="M29" i="1"/>
  <c r="B28" i="1"/>
  <c r="A28" i="1"/>
  <c r="R27" i="1"/>
  <c r="Q27" i="1"/>
  <c r="P27" i="1"/>
  <c r="T27" i="1" s="1"/>
  <c r="O27" i="1"/>
  <c r="N27" i="1"/>
  <c r="D11" i="1"/>
  <c r="C11" i="1"/>
  <c r="P9" i="1"/>
  <c r="T9" i="1" s="1"/>
  <c r="N9" i="1"/>
  <c r="O9" i="1"/>
  <c r="Q9" i="1"/>
  <c r="R9" i="1"/>
  <c r="L9" i="1"/>
  <c r="J9" i="1"/>
  <c r="F9" i="1" s="1"/>
  <c r="I9" i="1"/>
  <c r="K9" i="1"/>
  <c r="H9" i="1"/>
  <c r="A8" i="1"/>
  <c r="M7" i="1"/>
  <c r="B8" i="1"/>
  <c r="E10" i="1"/>
  <c r="G10" i="1"/>
  <c r="C25" i="1"/>
  <c r="D25" i="1"/>
  <c r="U10" i="1"/>
  <c r="S10" i="1"/>
  <c r="G26" i="1"/>
  <c r="E26" i="1"/>
  <c r="S26" i="1"/>
  <c r="U26" i="1"/>
  <c r="W25" i="1"/>
  <c r="V25" i="1"/>
  <c r="X10" i="1"/>
  <c r="Y10" i="1" s="1"/>
  <c r="X27" i="1" l="1"/>
  <c r="Y27" i="1" s="1"/>
  <c r="X9" i="1"/>
  <c r="Y9" i="1" s="1"/>
  <c r="J28" i="1"/>
  <c r="F28" i="1" s="1"/>
  <c r="I28" i="1"/>
  <c r="L28" i="1"/>
  <c r="H28" i="1"/>
  <c r="K28" i="1"/>
  <c r="Q28" i="1"/>
  <c r="P28" i="1"/>
  <c r="T28" i="1" s="1"/>
  <c r="O28" i="1"/>
  <c r="N28" i="1"/>
  <c r="R28" i="1"/>
  <c r="D10" i="1"/>
  <c r="C10" i="1"/>
  <c r="B7" i="1"/>
  <c r="A7" i="1"/>
  <c r="V26" i="1"/>
  <c r="W26" i="1"/>
  <c r="K8" i="1"/>
  <c r="J8" i="1"/>
  <c r="F8" i="1" s="1"/>
  <c r="H8" i="1"/>
  <c r="L8" i="1"/>
  <c r="I8" i="1"/>
  <c r="E27" i="1"/>
  <c r="G27" i="1"/>
  <c r="W10" i="1"/>
  <c r="V10" i="1"/>
  <c r="S27" i="1"/>
  <c r="U27" i="1"/>
  <c r="U9" i="1"/>
  <c r="S9" i="1"/>
  <c r="M30" i="1"/>
  <c r="B29" i="1"/>
  <c r="A29" i="1"/>
  <c r="R8" i="1"/>
  <c r="Q8" i="1"/>
  <c r="N8" i="1"/>
  <c r="P8" i="1"/>
  <c r="T8" i="1" s="1"/>
  <c r="O8" i="1"/>
  <c r="D26" i="1"/>
  <c r="C26" i="1"/>
  <c r="G9" i="1"/>
  <c r="E9" i="1"/>
  <c r="X28" i="1" l="1"/>
  <c r="Y28" i="1" s="1"/>
  <c r="X8" i="1"/>
  <c r="Y8" i="1" s="1"/>
  <c r="P29" i="1"/>
  <c r="T29" i="1" s="1"/>
  <c r="O29" i="1"/>
  <c r="N29" i="1"/>
  <c r="R29" i="1"/>
  <c r="Q29" i="1"/>
  <c r="M31" i="1"/>
  <c r="B30" i="1"/>
  <c r="A30" i="1"/>
  <c r="E28" i="1"/>
  <c r="G28" i="1"/>
  <c r="U28" i="1"/>
  <c r="S28" i="1"/>
  <c r="G8" i="1"/>
  <c r="E8" i="1"/>
  <c r="D9" i="1"/>
  <c r="C9" i="1"/>
  <c r="V27" i="1"/>
  <c r="W27" i="1"/>
  <c r="D27" i="1"/>
  <c r="C27" i="1"/>
  <c r="H29" i="1"/>
  <c r="L29" i="1"/>
  <c r="K29" i="1"/>
  <c r="J29" i="1"/>
  <c r="F29" i="1" s="1"/>
  <c r="I29" i="1"/>
  <c r="V9" i="1"/>
  <c r="W9" i="1"/>
  <c r="L7" i="1"/>
  <c r="K7" i="1"/>
  <c r="J7" i="1"/>
  <c r="I7" i="1"/>
  <c r="H7" i="1"/>
  <c r="U8" i="1"/>
  <c r="S8" i="1"/>
  <c r="N7" i="1"/>
  <c r="R7" i="1"/>
  <c r="P7" i="1"/>
  <c r="O7" i="1"/>
  <c r="Q7" i="1"/>
  <c r="X29" i="1" l="1"/>
  <c r="Y29" i="1" s="1"/>
  <c r="G29" i="1"/>
  <c r="E29" i="1"/>
  <c r="F7" i="1"/>
  <c r="B31" i="1"/>
  <c r="A31" i="1"/>
  <c r="L30" i="1"/>
  <c r="I30" i="1"/>
  <c r="H30" i="1"/>
  <c r="J30" i="1"/>
  <c r="F30" i="1" s="1"/>
  <c r="K30" i="1"/>
  <c r="W8" i="1"/>
  <c r="V8" i="1"/>
  <c r="G7" i="1"/>
  <c r="E7" i="1"/>
  <c r="C8" i="1"/>
  <c r="D8" i="1"/>
  <c r="S29" i="1"/>
  <c r="U29" i="1"/>
  <c r="W28" i="1"/>
  <c r="V28" i="1"/>
  <c r="D28" i="1"/>
  <c r="C28" i="1"/>
  <c r="O30" i="1"/>
  <c r="N30" i="1"/>
  <c r="R30" i="1"/>
  <c r="Q30" i="1"/>
  <c r="P30" i="1"/>
  <c r="T30" i="1" s="1"/>
  <c r="X7" i="1"/>
  <c r="Y7" i="1" s="1"/>
  <c r="S7" i="1"/>
  <c r="U7" i="1"/>
  <c r="T7" i="1"/>
  <c r="W7" i="1" l="1"/>
  <c r="V7" i="1"/>
  <c r="N31" i="1"/>
  <c r="Q31" i="1"/>
  <c r="R31" i="1"/>
  <c r="P31" i="1"/>
  <c r="O31" i="1"/>
  <c r="G30" i="1"/>
  <c r="E30" i="1"/>
  <c r="X30" i="1"/>
  <c r="Y30" i="1" s="1"/>
  <c r="W29" i="1"/>
  <c r="V29" i="1"/>
  <c r="L31" i="1"/>
  <c r="K31" i="1"/>
  <c r="J31" i="1"/>
  <c r="F31" i="1" s="1"/>
  <c r="I31" i="1"/>
  <c r="H31" i="1"/>
  <c r="U30" i="1"/>
  <c r="S30" i="1"/>
  <c r="D29" i="1"/>
  <c r="C29" i="1"/>
  <c r="C7" i="1"/>
  <c r="D7" i="1"/>
  <c r="G39" i="1" l="1"/>
  <c r="G41" i="1" s="1"/>
  <c r="S31" i="1"/>
  <c r="U31" i="1"/>
  <c r="G31" i="1"/>
  <c r="E31" i="1"/>
  <c r="C30" i="1"/>
  <c r="D30" i="1"/>
  <c r="V30" i="1"/>
  <c r="W30" i="1"/>
  <c r="X31" i="1"/>
  <c r="Y31" i="1" s="1"/>
  <c r="Q32" i="1"/>
  <c r="T31" i="1"/>
  <c r="H39" i="1"/>
  <c r="I32" i="1"/>
  <c r="G49" i="1"/>
  <c r="H49" i="1"/>
  <c r="G40" i="1" l="1"/>
  <c r="AG31" i="1"/>
  <c r="G38" i="1"/>
  <c r="K54" i="1"/>
  <c r="M54" i="1"/>
  <c r="R54" i="1"/>
  <c r="O39" i="1"/>
  <c r="N39" i="1"/>
  <c r="N54" i="1"/>
  <c r="S54" i="1"/>
  <c r="Q54" i="1"/>
  <c r="U39" i="1"/>
  <c r="T54" i="1"/>
  <c r="T39" i="1"/>
  <c r="P39" i="1"/>
  <c r="J54" i="1"/>
  <c r="L54" i="1"/>
  <c r="G42" i="1"/>
  <c r="U54" i="1"/>
  <c r="Q39" i="1"/>
  <c r="S39" i="1"/>
  <c r="J39" i="1"/>
  <c r="D31" i="1"/>
  <c r="C31" i="1"/>
  <c r="G50" i="1"/>
  <c r="L49" i="1"/>
  <c r="J49" i="1"/>
  <c r="U49" i="1"/>
  <c r="AL31" i="1"/>
  <c r="T49" i="1"/>
  <c r="S49" i="1"/>
  <c r="G51" i="1"/>
  <c r="R49" i="1"/>
  <c r="P49" i="1"/>
  <c r="Q49" i="1"/>
  <c r="O49" i="1"/>
  <c r="M49" i="1"/>
  <c r="N49" i="1"/>
  <c r="K49" i="1"/>
  <c r="G48" i="1"/>
  <c r="W54" i="1"/>
  <c r="AD39" i="1"/>
  <c r="H38" i="1"/>
  <c r="AG54" i="1"/>
  <c r="AB39" i="1"/>
  <c r="AF54" i="1"/>
  <c r="AA39" i="1"/>
  <c r="AE54" i="1"/>
  <c r="Z39" i="1"/>
  <c r="AD54" i="1"/>
  <c r="H40" i="1"/>
  <c r="Y39" i="1"/>
  <c r="AF39" i="1"/>
  <c r="AE39" i="1"/>
  <c r="I39" i="1"/>
  <c r="AC54" i="1"/>
  <c r="AC39" i="1"/>
  <c r="Z54" i="1"/>
  <c r="X39" i="1"/>
  <c r="AH31" i="1"/>
  <c r="W39" i="1"/>
  <c r="AB54" i="1"/>
  <c r="H41" i="1"/>
  <c r="T41" i="1" s="1"/>
  <c r="V39" i="1"/>
  <c r="AA54" i="1"/>
  <c r="X54" i="1"/>
  <c r="V54" i="1"/>
  <c r="AI39" i="1"/>
  <c r="AG39" i="1"/>
  <c r="Y54" i="1"/>
  <c r="O54" i="1"/>
  <c r="R39" i="1"/>
  <c r="P54" i="1"/>
  <c r="W31" i="1"/>
  <c r="V31" i="1"/>
  <c r="X49" i="1"/>
  <c r="V49" i="1"/>
  <c r="AM31" i="1"/>
  <c r="AG49" i="1"/>
  <c r="I49" i="1"/>
  <c r="AF49" i="1"/>
  <c r="AE49" i="1"/>
  <c r="Y49" i="1"/>
  <c r="W49" i="1"/>
  <c r="AD49" i="1"/>
  <c r="H50" i="1"/>
  <c r="AI49" i="1"/>
  <c r="H48" i="1"/>
  <c r="AC49" i="1"/>
  <c r="AA49" i="1"/>
  <c r="AB49" i="1"/>
  <c r="Z49" i="1"/>
  <c r="H51" i="1"/>
  <c r="AH37" i="1"/>
  <c r="X32" i="1"/>
  <c r="Y32" i="1" s="1"/>
  <c r="AC31" i="1"/>
  <c r="K39" i="1"/>
  <c r="L39" i="1"/>
  <c r="M39" i="1"/>
  <c r="K40" i="1" l="1"/>
  <c r="Q53" i="1"/>
  <c r="P55" i="1"/>
  <c r="Q55" i="1"/>
  <c r="O41" i="1"/>
  <c r="N55" i="1"/>
  <c r="O40" i="1"/>
  <c r="P40" i="1"/>
  <c r="AF50" i="1"/>
  <c r="AD50" i="1"/>
  <c r="AC50" i="1"/>
  <c r="AB50" i="1"/>
  <c r="AA50" i="1"/>
  <c r="AI50" i="1"/>
  <c r="X50" i="1"/>
  <c r="AG50" i="1"/>
  <c r="AE50" i="1"/>
  <c r="Z50" i="1"/>
  <c r="Y50" i="1"/>
  <c r="V50" i="1"/>
  <c r="W50" i="1"/>
  <c r="R40" i="1"/>
  <c r="Q40" i="1"/>
  <c r="J55" i="1"/>
  <c r="S55" i="1"/>
  <c r="W53" i="1"/>
  <c r="Z40" i="1"/>
  <c r="AG53" i="1"/>
  <c r="X40" i="1"/>
  <c r="AF53" i="1"/>
  <c r="AI40" i="1"/>
  <c r="W40" i="1"/>
  <c r="AE53" i="1"/>
  <c r="V40" i="1"/>
  <c r="AD53" i="1"/>
  <c r="AG40" i="1"/>
  <c r="V53" i="1"/>
  <c r="Y40" i="1"/>
  <c r="AE40" i="1"/>
  <c r="AC53" i="1"/>
  <c r="AB53" i="1"/>
  <c r="AF40" i="1"/>
  <c r="Y53" i="1"/>
  <c r="AB40" i="1"/>
  <c r="Z53" i="1"/>
  <c r="X53" i="1"/>
  <c r="AD40" i="1"/>
  <c r="AC40" i="1"/>
  <c r="AA40" i="1"/>
  <c r="AA53" i="1"/>
  <c r="P41" i="1"/>
  <c r="R41" i="1"/>
  <c r="S40" i="1"/>
  <c r="T53" i="1"/>
  <c r="M41" i="1"/>
  <c r="S41" i="1"/>
  <c r="T55" i="1"/>
  <c r="R53" i="1"/>
  <c r="J40" i="1"/>
  <c r="L41" i="1"/>
  <c r="L55" i="1"/>
  <c r="M40" i="1"/>
  <c r="U53" i="1"/>
  <c r="K41" i="1"/>
  <c r="U40" i="1"/>
  <c r="W55" i="1"/>
  <c r="V41" i="1"/>
  <c r="AG55" i="1"/>
  <c r="AF41" i="1"/>
  <c r="AF55" i="1"/>
  <c r="AE41" i="1"/>
  <c r="AE55" i="1"/>
  <c r="AD41" i="1"/>
  <c r="AD55" i="1"/>
  <c r="AC41" i="1"/>
  <c r="H42" i="1"/>
  <c r="I42" i="1" s="1"/>
  <c r="X55" i="1"/>
  <c r="AC55" i="1"/>
  <c r="AI41" i="1"/>
  <c r="AA55" i="1"/>
  <c r="AB55" i="1"/>
  <c r="AG41" i="1"/>
  <c r="AB41" i="1"/>
  <c r="Z55" i="1"/>
  <c r="AA41" i="1"/>
  <c r="Z41" i="1"/>
  <c r="Y55" i="1"/>
  <c r="Y41" i="1"/>
  <c r="X41" i="1"/>
  <c r="V55" i="1"/>
  <c r="W41" i="1"/>
  <c r="M53" i="1"/>
  <c r="T50" i="1"/>
  <c r="R50" i="1"/>
  <c r="Q50" i="1"/>
  <c r="P50" i="1"/>
  <c r="O50" i="1"/>
  <c r="N50" i="1"/>
  <c r="M50" i="1"/>
  <c r="J50" i="1"/>
  <c r="L50" i="1"/>
  <c r="K50" i="1"/>
  <c r="U50" i="1"/>
  <c r="S50" i="1"/>
  <c r="P53" i="1"/>
  <c r="P51" i="1"/>
  <c r="N51" i="1"/>
  <c r="M51" i="1"/>
  <c r="G52" i="1"/>
  <c r="L51" i="1"/>
  <c r="K51" i="1"/>
  <c r="U51" i="1"/>
  <c r="T51" i="1"/>
  <c r="S51" i="1"/>
  <c r="R51" i="1"/>
  <c r="O51" i="1"/>
  <c r="J51" i="1"/>
  <c r="Q51" i="1"/>
  <c r="J53" i="1"/>
  <c r="N40" i="1"/>
  <c r="N41" i="1"/>
  <c r="U55" i="1"/>
  <c r="Q41" i="1"/>
  <c r="U41" i="1"/>
  <c r="O53" i="1"/>
  <c r="AB51" i="1"/>
  <c r="Z51" i="1"/>
  <c r="H52" i="1"/>
  <c r="Y51" i="1"/>
  <c r="X51" i="1"/>
  <c r="AI51" i="1"/>
  <c r="W51" i="1"/>
  <c r="AD51" i="1"/>
  <c r="AC51" i="1"/>
  <c r="AA51" i="1"/>
  <c r="V51" i="1"/>
  <c r="AF51" i="1"/>
  <c r="AG51" i="1"/>
  <c r="AE51" i="1"/>
  <c r="AD31" i="1"/>
  <c r="AH39" i="1"/>
  <c r="N53" i="1"/>
  <c r="K53" i="1"/>
  <c r="J41" i="1"/>
  <c r="AH49" i="1"/>
  <c r="AK31" i="1"/>
  <c r="R55" i="1"/>
  <c r="S53" i="1"/>
  <c r="L40" i="1"/>
  <c r="L53" i="1"/>
  <c r="T40" i="1"/>
  <c r="O55" i="1"/>
  <c r="M55" i="1"/>
  <c r="K55" i="1"/>
  <c r="I52" i="1" l="1"/>
  <c r="AH50" i="1"/>
  <c r="AI31" i="1"/>
  <c r="AH40" i="1"/>
  <c r="AF31" i="1"/>
  <c r="AH41" i="1"/>
  <c r="AE31" i="1"/>
  <c r="AJ31" i="1"/>
  <c r="AH51" i="1"/>
</calcChain>
</file>

<file path=xl/sharedStrings.xml><?xml version="1.0" encoding="utf-8"?>
<sst xmlns="http://schemas.openxmlformats.org/spreadsheetml/2006/main" count="401" uniqueCount="168">
  <si>
    <t>NIFTYFIFTY Options Open Interest Analysis</t>
  </si>
  <si>
    <t>Nifty Spot</t>
  </si>
  <si>
    <t>TARGETDATE</t>
  </si>
  <si>
    <t>Call</t>
  </si>
  <si>
    <t>Put</t>
  </si>
  <si>
    <t>Action</t>
  </si>
  <si>
    <t>TREND</t>
  </si>
  <si>
    <t>Interpretation</t>
  </si>
  <si>
    <t>OI change</t>
  </si>
  <si>
    <t>price change</t>
  </si>
  <si>
    <t>Call Volume</t>
  </si>
  <si>
    <t>Call Net OI</t>
  </si>
  <si>
    <t>Call change in OI</t>
  </si>
  <si>
    <t>Call Price change</t>
  </si>
  <si>
    <t>Call LTP</t>
  </si>
  <si>
    <t>strike</t>
  </si>
  <si>
    <t>Put LTP</t>
  </si>
  <si>
    <t>Put Price Change</t>
  </si>
  <si>
    <t>Put Change in OI</t>
  </si>
  <si>
    <t>Put Net OI</t>
  </si>
  <si>
    <t>Put Volume</t>
  </si>
  <si>
    <t>Put Call Ratio</t>
  </si>
  <si>
    <t>PCR Indication</t>
  </si>
  <si>
    <t>Intraday</t>
  </si>
  <si>
    <t>Position</t>
  </si>
  <si>
    <t>PCR</t>
  </si>
  <si>
    <t>CHNG</t>
  </si>
  <si>
    <t>V</t>
  </si>
  <si>
    <t>IO</t>
  </si>
  <si>
    <t>C_SPRIZE</t>
  </si>
  <si>
    <t>P_SPRIZE</t>
  </si>
  <si>
    <t>TPCR</t>
  </si>
  <si>
    <t>Tvolume</t>
  </si>
  <si>
    <t>20%P</t>
  </si>
  <si>
    <t>30%P</t>
  </si>
  <si>
    <t>40%P</t>
  </si>
  <si>
    <t>50%P</t>
  </si>
  <si>
    <t>55%P</t>
  </si>
  <si>
    <t>60%P</t>
  </si>
  <si>
    <t>65%P</t>
  </si>
  <si>
    <t>70%P</t>
  </si>
  <si>
    <t>80%P</t>
  </si>
  <si>
    <t>90%P</t>
  </si>
  <si>
    <t>95%P</t>
  </si>
  <si>
    <t>100%P</t>
  </si>
  <si>
    <t>20%C</t>
  </si>
  <si>
    <t>30%C</t>
  </si>
  <si>
    <t>40%C</t>
  </si>
  <si>
    <t>50%C</t>
  </si>
  <si>
    <t>55%C</t>
  </si>
  <si>
    <t>60%C</t>
  </si>
  <si>
    <t>65%C</t>
  </si>
  <si>
    <t>70%C</t>
  </si>
  <si>
    <t>80%C</t>
  </si>
  <si>
    <t>90%C</t>
  </si>
  <si>
    <t>95%C</t>
  </si>
  <si>
    <t>100%C</t>
  </si>
  <si>
    <t>For Intraday</t>
  </si>
  <si>
    <t>Max Change in OI</t>
  </si>
  <si>
    <t>Strike Price</t>
  </si>
  <si>
    <t>Change</t>
  </si>
  <si>
    <t>OI</t>
  </si>
  <si>
    <t>Volume</t>
  </si>
  <si>
    <t>Trend Strenth</t>
  </si>
  <si>
    <t>For Positional</t>
  </si>
  <si>
    <t>Max OI</t>
  </si>
  <si>
    <t>Change in OI</t>
  </si>
  <si>
    <t>Go for Naked Long in PE/CE only when Volume at the Strike Price &gt; Change in OI</t>
  </si>
  <si>
    <t>Option Chain (Equity Derivatives)</t>
  </si>
  <si>
    <t>NIFTY</t>
  </si>
  <si>
    <t>Date</t>
  </si>
  <si>
    <t>OR</t>
  </si>
  <si>
    <t>CE_changeoi</t>
  </si>
  <si>
    <t>CE_Volume</t>
  </si>
  <si>
    <t>CE_IV</t>
  </si>
  <si>
    <t>CE_LTP</t>
  </si>
  <si>
    <t>CE_change</t>
  </si>
  <si>
    <t>CE_bidqty</t>
  </si>
  <si>
    <t>CE_bidprice</t>
  </si>
  <si>
    <t>CE_askprice</t>
  </si>
  <si>
    <t>CE_askqty</t>
  </si>
  <si>
    <t>Strikeprice</t>
  </si>
  <si>
    <t>PE_bidqty</t>
  </si>
  <si>
    <t>PE_bidprice</t>
  </si>
  <si>
    <t>PE_askprice</t>
  </si>
  <si>
    <t>PE_askqty</t>
  </si>
  <si>
    <t>PE_change</t>
  </si>
  <si>
    <t>PE_LTP</t>
  </si>
  <si>
    <t>PE_IV</t>
  </si>
  <si>
    <t>PE_Volume</t>
  </si>
  <si>
    <t>PE_changeoi</t>
  </si>
  <si>
    <t>PE_OI</t>
  </si>
  <si>
    <t>underlyingvalue</t>
  </si>
  <si>
    <t>time</t>
  </si>
  <si>
    <t>Expirydate</t>
  </si>
  <si>
    <t>Price Change</t>
  </si>
  <si>
    <t>Signal</t>
  </si>
  <si>
    <t>Stock</t>
  </si>
  <si>
    <t>&lt;0</t>
  </si>
  <si>
    <t>Long Liquidation</t>
  </si>
  <si>
    <t>Sell</t>
  </si>
  <si>
    <t>Buy</t>
  </si>
  <si>
    <t>Market will Go Down</t>
  </si>
  <si>
    <t>Traders unwinding their long positions by selling existing contracts</t>
  </si>
  <si>
    <t>&gt;0</t>
  </si>
  <si>
    <t>Short Buildup</t>
  </si>
  <si>
    <t>Decrease in price is due to newly build short positions and further weakness is predicted</t>
  </si>
  <si>
    <t>Long Buildup</t>
  </si>
  <si>
    <t>Market will Go up</t>
  </si>
  <si>
    <t>Indication of new money coming and indicates further continuance of uptrend</t>
  </si>
  <si>
    <t>Short Covering</t>
  </si>
  <si>
    <t>Increase in price is due to short covering of positions</t>
  </si>
  <si>
    <t>My idea is to analyse tht eithr put or calls whose:</t>
  </si>
  <si>
    <t xml:space="preserve">1) OI are more OTM, plus change in OI are maximum, then if we short them , profit is generated by time decay. </t>
  </si>
  <si>
    <t>2) The strategy can be double confirmed by hourly supertrend. I have been making some profits by this in nifty options recently but feel tht as weekly banknifty can give early profits as thus cycle repeats every week.</t>
  </si>
  <si>
    <t>I have been making some profits by this in nifty options recently but feel tht as weekly banknifty can give early profits as thus cycle repeats every week.</t>
  </si>
  <si>
    <t>url;https://www.nseindia.com/get-quotes/derivatives?symbol=NIFTY&amp;identifier=OPTIDXNIFTY09-03-2023CE17600.00</t>
  </si>
  <si>
    <t>url;https://www.nseindia.com/get-quotes/derivatives?symbol=BANKNIFTY&amp;identifier=OPTIDXBANKNIFTY09-03-2023CE41200.00</t>
  </si>
  <si>
    <t>BANKNIFTY</t>
  </si>
  <si>
    <t>url;https://www.nseindia.com/get-quotes/derivatives?symbol=ADANIENT&amp;identifier=OPTSTKADANIENT29-03-2023CE2000.00</t>
  </si>
  <si>
    <t>ADANIENT</t>
  </si>
  <si>
    <t>13:40</t>
  </si>
  <si>
    <t>13:44</t>
  </si>
  <si>
    <t>14:02</t>
  </si>
  <si>
    <t>14:04</t>
  </si>
  <si>
    <t>14:12</t>
  </si>
  <si>
    <t>14:23</t>
  </si>
  <si>
    <t>14:26</t>
  </si>
  <si>
    <t>14:28</t>
  </si>
  <si>
    <t>14:30</t>
  </si>
  <si>
    <t>14:33</t>
  </si>
  <si>
    <t>14:35</t>
  </si>
  <si>
    <t>14:37</t>
  </si>
  <si>
    <t>14:38</t>
  </si>
  <si>
    <t>14:40</t>
  </si>
  <si>
    <t>14:42</t>
  </si>
  <si>
    <t>14:46</t>
  </si>
  <si>
    <t>14:50</t>
  </si>
  <si>
    <t>14:53</t>
  </si>
  <si>
    <t>14:54</t>
  </si>
  <si>
    <t>14:56</t>
  </si>
  <si>
    <t>15:03</t>
  </si>
  <si>
    <t>15:06</t>
  </si>
  <si>
    <t>15:08</t>
  </si>
  <si>
    <t>15:09</t>
  </si>
  <si>
    <t>15:10</t>
  </si>
  <si>
    <t>15:12</t>
  </si>
  <si>
    <t>15:14</t>
  </si>
  <si>
    <t>15:16</t>
  </si>
  <si>
    <t>15:17</t>
  </si>
  <si>
    <t>15:18</t>
  </si>
  <si>
    <t>15:19</t>
  </si>
  <si>
    <t>15:20</t>
  </si>
  <si>
    <t>15:21</t>
  </si>
  <si>
    <t>15:22</t>
  </si>
  <si>
    <t>15:23</t>
  </si>
  <si>
    <t>15:24</t>
  </si>
  <si>
    <t>15:26</t>
  </si>
  <si>
    <t>15:28</t>
  </si>
  <si>
    <t>15:29</t>
  </si>
  <si>
    <t>20:28</t>
  </si>
  <si>
    <t>graph</t>
  </si>
  <si>
    <t>CE_OI</t>
  </si>
  <si>
    <t>image</t>
  </si>
  <si>
    <t>Tot</t>
  </si>
  <si>
    <t xml:space="preserve"> </t>
  </si>
  <si>
    <t>…..........</t>
  </si>
  <si>
    <t>…...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</si>
</sst>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3" formatCode="_-* #,##0.00_-;\-* #,##0.00_-;_-* &quot;-&quot;??_-;_-@_-"/>
    <numFmt numFmtId="164" formatCode="_-* #,##0_-;\-* #,##0_-;_-* &quot;-&quot;??_-;_-@_-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20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rgb="FF222222"/>
      <name val="Arial"/>
      <family val="2"/>
    </font>
    <font>
      <b/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1"/>
      <name val="Times New Roman"/>
      <family val="1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</fonts>
  <fills count="1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6699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CCFFCC"/>
        <bgColor indexed="64"/>
      </patternFill>
    </fill>
  </fills>
  <borders count="17">
    <border>
      <left/>
      <right/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/>
      <right style="thin">
        <color theme="1" tint="0.499984740745262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1" tint="0.499984740745262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</borders>
  <cellStyleXfs count="5">
    <xf numFmtId="0" fontId="0" fillId="0" borderId="0"/>
    <xf numFmtId="0" fontId="3" fillId="0" borderId="0"/>
    <xf numFmtId="0" fontId="1" fillId="0" borderId="0"/>
    <xf numFmtId="43" fontId="1" fillId="0" borderId="0"/>
    <xf numFmtId="0" fontId="6" fillId="4" borderId="0"/>
  </cellStyleXfs>
  <cellXfs count="90">
    <xf numFmtId="0" fontId="0" fillId="0" borderId="0" xfId="0"/>
    <xf numFmtId="0" fontId="2" fillId="2" borderId="0" xfId="0" applyFont="1" applyFill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0" fillId="0" borderId="2" xfId="0" applyBorder="1" applyAlignment="1">
      <alignment vertical="top"/>
    </xf>
    <xf numFmtId="0" fontId="0" fillId="0" borderId="2" xfId="0" applyBorder="1" applyAlignment="1">
      <alignment vertical="top" wrapText="1"/>
    </xf>
    <xf numFmtId="0" fontId="0" fillId="0" borderId="0" xfId="0" applyAlignment="1">
      <alignment vertical="top"/>
    </xf>
    <xf numFmtId="0" fontId="0" fillId="5" borderId="0" xfId="0" applyFill="1" applyAlignment="1">
      <alignment vertical="top"/>
    </xf>
    <xf numFmtId="0" fontId="7" fillId="0" borderId="0" xfId="0" applyFont="1"/>
    <xf numFmtId="0" fontId="0" fillId="5" borderId="0" xfId="0" applyFill="1" applyAlignment="1">
      <alignment horizontal="center"/>
    </xf>
    <xf numFmtId="0" fontId="0" fillId="5" borderId="3" xfId="0" applyFill="1" applyBorder="1"/>
    <xf numFmtId="0" fontId="6" fillId="4" borderId="3" xfId="4" applyBorder="1" applyAlignment="1">
      <alignment horizontal="center" vertical="center"/>
    </xf>
    <xf numFmtId="0" fontId="2" fillId="7" borderId="3" xfId="0" applyFont="1" applyFill="1" applyBorder="1" applyAlignment="1">
      <alignment horizontal="center" vertical="center" wrapText="1"/>
    </xf>
    <xf numFmtId="43" fontId="2" fillId="7" borderId="3" xfId="3" applyFont="1" applyFill="1" applyBorder="1" applyAlignment="1">
      <alignment horizontal="center" vertical="center" wrapText="1"/>
    </xf>
    <xf numFmtId="0" fontId="2" fillId="7" borderId="3" xfId="0" applyFont="1" applyFill="1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5" borderId="4" xfId="0" applyFill="1" applyBorder="1" applyAlignment="1">
      <alignment horizontal="center" vertical="center"/>
    </xf>
    <xf numFmtId="164" fontId="1" fillId="5" borderId="4" xfId="3" applyNumberFormat="1" applyFill="1" applyBorder="1"/>
    <xf numFmtId="164" fontId="1" fillId="5" borderId="4" xfId="3" applyNumberFormat="1" applyFill="1" applyBorder="1" applyAlignment="1">
      <alignment horizontal="center" vertical="center"/>
    </xf>
    <xf numFmtId="43" fontId="1" fillId="5" borderId="4" xfId="3" applyFill="1" applyBorder="1" applyAlignment="1">
      <alignment horizontal="center" vertical="center"/>
    </xf>
    <xf numFmtId="164" fontId="1" fillId="8" borderId="4" xfId="3" applyNumberFormat="1" applyFill="1" applyBorder="1" applyAlignment="1">
      <alignment horizontal="center" vertical="center"/>
    </xf>
    <xf numFmtId="0" fontId="0" fillId="5" borderId="5" xfId="0" applyFill="1" applyBorder="1" applyAlignment="1">
      <alignment horizontal="center" vertical="center"/>
    </xf>
    <xf numFmtId="164" fontId="1" fillId="5" borderId="5" xfId="3" applyNumberFormat="1" applyFill="1" applyBorder="1"/>
    <xf numFmtId="164" fontId="1" fillId="5" borderId="5" xfId="3" applyNumberFormat="1" applyFill="1" applyBorder="1" applyAlignment="1">
      <alignment horizontal="center" vertical="center"/>
    </xf>
    <xf numFmtId="43" fontId="1" fillId="5" borderId="5" xfId="3" applyFill="1" applyBorder="1" applyAlignment="1">
      <alignment horizontal="center" vertical="center"/>
    </xf>
    <xf numFmtId="164" fontId="1" fillId="8" borderId="5" xfId="3" applyNumberFormat="1" applyFill="1" applyBorder="1" applyAlignment="1">
      <alignment horizontal="center" vertical="center"/>
    </xf>
    <xf numFmtId="164" fontId="6" fillId="9" borderId="5" xfId="4" applyNumberFormat="1" applyFill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164" fontId="1" fillId="5" borderId="6" xfId="3" applyNumberFormat="1" applyFill="1" applyBorder="1"/>
    <xf numFmtId="164" fontId="1" fillId="5" borderId="6" xfId="3" applyNumberFormat="1" applyFill="1" applyBorder="1" applyAlignment="1">
      <alignment horizontal="center" vertical="center"/>
    </xf>
    <xf numFmtId="43" fontId="1" fillId="5" borderId="6" xfId="3" applyFill="1" applyBorder="1" applyAlignment="1">
      <alignment horizontal="center" vertical="center"/>
    </xf>
    <xf numFmtId="164" fontId="1" fillId="8" borderId="6" xfId="3" applyNumberFormat="1" applyFill="1" applyBorder="1" applyAlignment="1">
      <alignment horizontal="center" vertical="center"/>
    </xf>
    <xf numFmtId="0" fontId="0" fillId="5" borderId="0" xfId="0" applyFill="1"/>
    <xf numFmtId="164" fontId="0" fillId="5" borderId="0" xfId="0" applyNumberFormat="1" applyFill="1"/>
    <xf numFmtId="43" fontId="0" fillId="5" borderId="0" xfId="3" applyFont="1" applyFill="1"/>
    <xf numFmtId="43" fontId="0" fillId="5" borderId="6" xfId="3" applyFont="1" applyFill="1" applyBorder="1" applyAlignment="1">
      <alignment horizontal="center" vertical="center"/>
    </xf>
    <xf numFmtId="0" fontId="0" fillId="10" borderId="0" xfId="0" applyFill="1"/>
    <xf numFmtId="0" fontId="0" fillId="12" borderId="3" xfId="0" applyFill="1" applyBorder="1"/>
    <xf numFmtId="0" fontId="0" fillId="12" borderId="3" xfId="0" applyFill="1" applyBorder="1" applyAlignment="1">
      <alignment horizontal="right"/>
    </xf>
    <xf numFmtId="0" fontId="0" fillId="0" borderId="4" xfId="0" applyBorder="1"/>
    <xf numFmtId="164" fontId="0" fillId="0" borderId="4" xfId="3" applyNumberFormat="1" applyFont="1" applyBorder="1"/>
    <xf numFmtId="0" fontId="0" fillId="13" borderId="5" xfId="0" applyFill="1" applyBorder="1" applyAlignment="1">
      <alignment horizontal="left"/>
    </xf>
    <xf numFmtId="164" fontId="0" fillId="13" borderId="5" xfId="3" applyNumberFormat="1" applyFont="1" applyFill="1" applyBorder="1"/>
    <xf numFmtId="0" fontId="0" fillId="0" borderId="6" xfId="0" applyBorder="1"/>
    <xf numFmtId="164" fontId="0" fillId="0" borderId="6" xfId="3" applyNumberFormat="1" applyFont="1" applyBorder="1"/>
    <xf numFmtId="0" fontId="0" fillId="0" borderId="3" xfId="0" applyBorder="1"/>
    <xf numFmtId="0" fontId="0" fillId="0" borderId="3" xfId="0" applyBorder="1" applyAlignment="1">
      <alignment horizontal="right"/>
    </xf>
    <xf numFmtId="0" fontId="0" fillId="0" borderId="3" xfId="0" applyBorder="1" applyAlignment="1">
      <alignment horizontal="center"/>
    </xf>
    <xf numFmtId="0" fontId="0" fillId="13" borderId="5" xfId="0" applyFill="1" applyBorder="1"/>
    <xf numFmtId="0" fontId="0" fillId="0" borderId="6" xfId="0" applyBorder="1" applyAlignment="1">
      <alignment horizontal="left"/>
    </xf>
    <xf numFmtId="0" fontId="0" fillId="0" borderId="0" xfId="0" quotePrefix="1"/>
    <xf numFmtId="22" fontId="0" fillId="0" borderId="0" xfId="0" applyNumberFormat="1"/>
    <xf numFmtId="0" fontId="0" fillId="0" borderId="0" xfId="0" applyAlignment="1">
      <alignment horizontal="center" vertical="center"/>
    </xf>
    <xf numFmtId="0" fontId="2" fillId="14" borderId="0" xfId="0" applyFont="1" applyFill="1" applyAlignment="1">
      <alignment horizontal="center" vertical="center"/>
    </xf>
    <xf numFmtId="0" fontId="2" fillId="15" borderId="0" xfId="0" applyFont="1" applyFill="1"/>
    <xf numFmtId="0" fontId="8" fillId="0" borderId="0" xfId="0" applyFont="1"/>
    <xf numFmtId="164" fontId="0" fillId="0" borderId="0" xfId="0" applyNumberFormat="1"/>
    <xf numFmtId="0" fontId="0" fillId="2" borderId="0" xfId="0" applyFill="1" applyAlignment="1">
      <alignment horizontal="center" vertical="center"/>
    </xf>
    <xf numFmtId="0" fontId="9" fillId="0" borderId="0" xfId="0" applyFont="1"/>
    <xf numFmtId="0" fontId="0" fillId="0" borderId="5" xfId="0" applyBorder="1"/>
    <xf numFmtId="0" fontId="0" fillId="13" borderId="9" xfId="0" applyFill="1" applyBorder="1" applyAlignment="1">
      <alignment horizontal="left" vertical="center" wrapText="1"/>
    </xf>
    <xf numFmtId="0" fontId="10" fillId="0" borderId="0" xfId="0" applyFont="1"/>
    <xf numFmtId="0" fontId="0" fillId="0" borderId="9" xfId="0" applyBorder="1"/>
    <xf numFmtId="0" fontId="11" fillId="0" borderId="9" xfId="0" applyFont="1" applyBorder="1"/>
    <xf numFmtId="47" fontId="0" fillId="0" borderId="0" xfId="0" applyNumberFormat="1"/>
    <xf numFmtId="0" fontId="0" fillId="2" borderId="11" xfId="0" applyFill="1" applyBorder="1"/>
    <xf numFmtId="0" fontId="0" fillId="0" borderId="11" xfId="0" applyBorder="1"/>
    <xf numFmtId="22" fontId="0" fillId="0" borderId="9" xfId="0" applyNumberFormat="1" applyBorder="1"/>
    <xf numFmtId="0" fontId="12" fillId="0" borderId="0" xfId="0" applyFont="1"/>
    <xf numFmtId="0" fontId="13" fillId="0" borderId="0" xfId="0" applyFont="1"/>
    <xf numFmtId="0" fontId="0" fillId="2" borderId="12" xfId="0" applyFill="1" applyBorder="1"/>
    <xf numFmtId="43" fontId="13" fillId="5" borderId="6" xfId="3" applyFont="1" applyFill="1" applyBorder="1" applyAlignment="1">
      <alignment horizontal="center" vertical="center"/>
    </xf>
    <xf numFmtId="43" fontId="13" fillId="5" borderId="5" xfId="3" applyFont="1" applyFill="1" applyBorder="1" applyAlignment="1">
      <alignment horizontal="center" vertical="center"/>
    </xf>
    <xf numFmtId="0" fontId="2" fillId="0" borderId="0" xfId="0" applyFont="1"/>
    <xf numFmtId="43" fontId="8" fillId="0" borderId="0" xfId="0" applyNumberFormat="1" applyFont="1"/>
    <xf numFmtId="15" fontId="0" fillId="0" borderId="0" xfId="0" applyNumberFormat="1"/>
    <xf numFmtId="0" fontId="0" fillId="0" borderId="9" xfId="0" applyBorder="1" applyAlignment="1">
      <alignment horizontal="center"/>
    </xf>
    <xf numFmtId="0" fontId="0" fillId="0" borderId="13" xfId="0" applyBorder="1"/>
    <xf numFmtId="0" fontId="0" fillId="0" borderId="14" xfId="0" applyBorder="1"/>
    <xf numFmtId="0" fontId="0" fillId="11" borderId="7" xfId="0" applyFill="1" applyBorder="1" applyAlignment="1">
      <alignment horizontal="center" vertical="center" wrapText="1"/>
    </xf>
    <xf numFmtId="0" fontId="0" fillId="0" borderId="8" xfId="0" applyBorder="1"/>
    <xf numFmtId="0" fontId="0" fillId="0" borderId="10" xfId="0" applyBorder="1" applyAlignment="1">
      <alignment horizontal="center" vertical="center"/>
    </xf>
    <xf numFmtId="0" fontId="0" fillId="0" borderId="0" xfId="0"/>
    <xf numFmtId="0" fontId="5" fillId="6" borderId="3" xfId="0" applyFont="1" applyFill="1" applyBorder="1" applyAlignment="1">
      <alignment horizontal="center" vertical="center"/>
    </xf>
    <xf numFmtId="0" fontId="0" fillId="0" borderId="15" xfId="0" applyBorder="1"/>
    <xf numFmtId="0" fontId="0" fillId="0" borderId="16" xfId="0" applyBorder="1"/>
    <xf numFmtId="3" fontId="5" fillId="6" borderId="3" xfId="0" applyNumberFormat="1" applyFont="1" applyFill="1" applyBorder="1" applyAlignment="1">
      <alignment horizontal="center"/>
    </xf>
    <xf numFmtId="0" fontId="4" fillId="3" borderId="1" xfId="0" applyFont="1" applyFill="1" applyBorder="1" applyAlignment="1">
      <alignment horizontal="center"/>
    </xf>
    <xf numFmtId="0" fontId="0" fillId="0" borderId="1" xfId="0" applyBorder="1"/>
    <xf numFmtId="0" fontId="11" fillId="0" borderId="9" xfId="0" applyFont="1" applyBorder="1" applyAlignment="1">
      <alignment horizontal="center"/>
    </xf>
  </cellXfs>
  <cellStyles count="5">
    <cellStyle name="%" xfId="1" xr:uid="{00000000-0005-0000-0000-000001000000}"/>
    <cellStyle name="Accent1" xfId="4" builtinId="29"/>
    <cellStyle name="Comma 2" xfId="3" xr:uid="{00000000-0005-0000-0000-000003000000}"/>
    <cellStyle name="Normal" xfId="0" builtinId="0"/>
    <cellStyle name="Normal 2" xfId="2" xr:uid="{00000000-0005-0000-0000-000002000000}"/>
  </cellStyles>
  <dxfs count="88"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9CCFF"/>
        </patternFill>
      </fill>
    </dxf>
    <dxf>
      <fill>
        <patternFill>
          <bgColor rgb="FFCCFFCC"/>
        </patternFill>
      </fill>
    </dxf>
    <dxf>
      <fill>
        <patternFill>
          <bgColor rgb="FFFF0000"/>
        </patternFill>
      </fill>
    </dxf>
    <dxf>
      <fill>
        <patternFill>
          <bgColor rgb="FF99CCFF"/>
        </patternFill>
      </fill>
    </dxf>
    <dxf>
      <fill>
        <patternFill>
          <bgColor rgb="FFCCFFCC"/>
        </patternFill>
      </fill>
    </dxf>
    <dxf>
      <fill>
        <patternFill>
          <bgColor rgb="FF99CCFF"/>
        </patternFill>
      </fill>
    </dxf>
    <dxf>
      <fill>
        <patternFill>
          <bgColor rgb="FFFFCCCC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9CCFF"/>
        </patternFill>
      </fill>
    </dxf>
    <dxf>
      <fill>
        <patternFill>
          <bgColor rgb="FFFFCCCC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9CCFF"/>
        </patternFill>
      </fill>
    </dxf>
    <dxf>
      <fill>
        <patternFill>
          <bgColor rgb="FFFFCCCC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9CCFF"/>
        </patternFill>
      </fill>
    </dxf>
    <dxf>
      <fill>
        <patternFill>
          <bgColor rgb="FFCCFFCC"/>
        </patternFill>
      </fill>
    </dxf>
    <dxf>
      <fill>
        <patternFill>
          <bgColor rgb="FF99CCFF"/>
        </patternFill>
      </fill>
    </dxf>
    <dxf>
      <fill>
        <patternFill>
          <bgColor rgb="FFFFCCCC"/>
        </patternFill>
      </fill>
    </dxf>
    <dxf>
      <fill>
        <patternFill patternType="solid">
          <fgColor auto="1"/>
          <bgColor rgb="FFFFCCCC"/>
        </patternFill>
      </fill>
    </dxf>
    <dxf>
      <fill>
        <patternFill patternType="solid">
          <fgColor auto="1"/>
          <bgColor rgb="FFCCFFC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solid">
          <fgColor auto="1"/>
          <bgColor rgb="FFFFCCCC"/>
        </patternFill>
      </fill>
    </dxf>
    <dxf>
      <fill>
        <patternFill patternType="solid">
          <fgColor auto="1"/>
          <bgColor rgb="FFCCFFCC"/>
        </patternFill>
      </fill>
    </dxf>
    <dxf>
      <fill>
        <patternFill patternType="solid">
          <fgColor auto="1"/>
          <bgColor rgb="FFFFCCCC"/>
        </patternFill>
      </fill>
    </dxf>
    <dxf>
      <fill>
        <patternFill patternType="solid">
          <fgColor auto="1"/>
          <bgColor rgb="FFCCFFCC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 patternType="solid">
          <fgColor auto="1"/>
          <bgColor rgb="FFFFCCCC"/>
        </patternFill>
      </fill>
    </dxf>
    <dxf>
      <fill>
        <patternFill patternType="solid">
          <fgColor auto="1"/>
          <bgColor rgb="FFCCFFCC"/>
        </patternFill>
      </fill>
    </dxf>
    <dxf>
      <fill>
        <patternFill patternType="solid">
          <fgColor auto="1"/>
          <bgColor rgb="FF00B050"/>
        </patternFill>
      </fill>
    </dxf>
    <dxf>
      <fill>
        <patternFill patternType="solid">
          <fgColor auto="1"/>
          <bgColor rgb="FF66FF66"/>
        </patternFill>
      </fill>
    </dxf>
    <dxf>
      <fill>
        <patternFill patternType="solid">
          <fgColor auto="1"/>
          <bgColor rgb="FFFF9999"/>
        </patternFill>
      </fill>
    </dxf>
    <dxf>
      <fill>
        <patternFill patternType="solid">
          <fgColor auto="1"/>
          <bgColor rgb="FFFF5050"/>
        </patternFill>
      </fill>
    </dxf>
    <dxf>
      <fill>
        <patternFill patternType="solid">
          <fgColor auto="1"/>
          <bgColor rgb="FFFFCCCC"/>
        </patternFill>
      </fill>
    </dxf>
    <dxf>
      <fill>
        <patternFill patternType="solid">
          <fgColor auto="1"/>
          <bgColor rgb="FFCCFFC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CCCC"/>
        </patternFill>
      </fill>
    </dxf>
    <dxf>
      <fill>
        <patternFill patternType="solid">
          <fgColor auto="1"/>
          <bgColor rgb="FFCCFFCC"/>
        </patternFill>
      </fill>
    </dxf>
    <dxf>
      <fill>
        <patternFill patternType="solid">
          <fgColor auto="1"/>
          <bgColor rgb="FFFFCCCC"/>
        </patternFill>
      </fill>
    </dxf>
    <dxf>
      <fill>
        <patternFill patternType="solid">
          <fgColor auto="1"/>
          <bgColor rgb="FFCCFFCC"/>
        </patternFill>
      </fill>
    </dxf>
    <dxf>
      <fill>
        <patternFill patternType="solid">
          <fgColor auto="1"/>
          <bgColor rgb="FFFFCCCC"/>
        </patternFill>
      </fill>
    </dxf>
    <dxf>
      <fill>
        <patternFill patternType="solid">
          <fgColor auto="1"/>
          <bgColor rgb="FFCCFFCC"/>
        </patternFill>
      </fill>
    </dxf>
    <dxf>
      <fill>
        <patternFill patternType="solid">
          <fgColor auto="1"/>
          <bgColor rgb="FF00B050"/>
        </patternFill>
      </fill>
    </dxf>
    <dxf>
      <fill>
        <patternFill patternType="solid">
          <fgColor auto="1"/>
          <bgColor rgb="FF66FF66"/>
        </patternFill>
      </fill>
    </dxf>
    <dxf>
      <fill>
        <patternFill patternType="solid">
          <fgColor auto="1"/>
          <bgColor rgb="FFFF9999"/>
        </patternFill>
      </fill>
    </dxf>
    <dxf>
      <fill>
        <patternFill patternType="solid">
          <fgColor auto="1"/>
          <bgColor rgb="FFFF5050"/>
        </patternFill>
      </fill>
    </dxf>
    <dxf>
      <fill>
        <patternFill patternType="solid">
          <fgColor auto="1"/>
          <bgColor rgb="FFFFCCCC"/>
        </patternFill>
      </fill>
    </dxf>
    <dxf>
      <fill>
        <patternFill patternType="solid">
          <fgColor auto="1"/>
          <bgColor rgb="FFCCFFC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CCCC"/>
        </patternFill>
      </fill>
    </dxf>
    <dxf>
      <fill>
        <patternFill patternType="solid">
          <fgColor auto="1"/>
          <bgColor rgb="FFCCFFCC"/>
        </patternFill>
      </fill>
    </dxf>
    <dxf>
      <fill>
        <patternFill patternType="solid">
          <fgColor auto="1"/>
          <bgColor rgb="FFFFCCCC"/>
        </patternFill>
      </fill>
    </dxf>
    <dxf>
      <fill>
        <patternFill patternType="solid">
          <fgColor auto="1"/>
          <bgColor rgb="FFCCFFCC"/>
        </patternFill>
      </fill>
    </dxf>
    <dxf>
      <fill>
        <patternFill patternType="solid">
          <fgColor auto="1"/>
          <bgColor rgb="FFFFCCCC"/>
        </patternFill>
      </fill>
    </dxf>
    <dxf>
      <fill>
        <patternFill patternType="solid">
          <fgColor auto="1"/>
          <bgColor rgb="FFCCFFCC"/>
        </patternFill>
      </fill>
    </dxf>
    <dxf>
      <fill>
        <patternFill patternType="solid">
          <fgColor auto="1"/>
          <bgColor rgb="FF00B050"/>
        </patternFill>
      </fill>
    </dxf>
    <dxf>
      <fill>
        <patternFill patternType="solid">
          <fgColor auto="1"/>
          <bgColor rgb="FF66FF66"/>
        </patternFill>
      </fill>
    </dxf>
    <dxf>
      <fill>
        <patternFill patternType="solid">
          <fgColor auto="1"/>
          <bgColor rgb="FFFF9999"/>
        </patternFill>
      </fill>
    </dxf>
    <dxf>
      <fill>
        <patternFill patternType="solid">
          <fgColor auto="1"/>
          <bgColor rgb="FFFF5050"/>
        </patternFill>
      </fill>
    </dxf>
    <dxf>
      <fill>
        <patternFill patternType="solid">
          <fgColor auto="1"/>
          <bgColor rgb="FFFFCCCC"/>
        </patternFill>
      </fill>
    </dxf>
    <dxf>
      <fill>
        <patternFill patternType="solid">
          <fgColor auto="1"/>
          <bgColor rgb="FFCCFFC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solid">
          <fgColor auto="1"/>
          <bgColor rgb="FFFFCCCC"/>
        </patternFill>
      </fill>
    </dxf>
    <dxf>
      <fill>
        <patternFill patternType="solid">
          <fgColor auto="1"/>
          <bgColor rgb="FFCCFFCC"/>
        </patternFill>
      </fill>
    </dxf>
    <dxf>
      <fill>
        <patternFill patternType="solid">
          <fgColor auto="1"/>
          <bgColor rgb="FFFFCCCC"/>
        </patternFill>
      </fill>
    </dxf>
    <dxf>
      <fill>
        <patternFill patternType="solid">
          <fgColor auto="1"/>
          <bgColor rgb="FFCCFFCC"/>
        </patternFill>
      </fill>
    </dxf>
  </dxfs>
  <tableStyles count="1" defaultTableStyle="TableStyleMedium2" defaultPivotStyle="PivotStyleLight16">
    <tableStyle name="Invisible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3.0351492654175881E-2"/>
          <c:y val="0.1023644384877422"/>
          <c:w val="0.94111492830311638"/>
          <c:h val="0.6809464363662275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MAINOI!$I$6</c:f>
              <c:strCache>
                <c:ptCount val="1"/>
                <c:pt idx="0">
                  <c:v>Call Net OI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dLbls>
            <c:spPr>
              <a:noFill/>
              <a:ln>
                <a:noFill/>
                <a:prstDash val="solid"/>
              </a:ln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MAINOI!$M$7:$M$31</c:f>
              <c:numCache>
                <c:formatCode>_-* #,##0_-;\-* #,##0_-;_-* "-"??_-;_-@_-</c:formatCode>
                <c:ptCount val="25"/>
                <c:pt idx="0">
                  <c:v>23600</c:v>
                </c:pt>
                <c:pt idx="1">
                  <c:v>23600</c:v>
                </c:pt>
                <c:pt idx="2">
                  <c:v>23700</c:v>
                </c:pt>
                <c:pt idx="3">
                  <c:v>23800</c:v>
                </c:pt>
                <c:pt idx="4">
                  <c:v>23900</c:v>
                </c:pt>
                <c:pt idx="5">
                  <c:v>24000</c:v>
                </c:pt>
                <c:pt idx="6">
                  <c:v>24100</c:v>
                </c:pt>
                <c:pt idx="7">
                  <c:v>24200</c:v>
                </c:pt>
                <c:pt idx="8">
                  <c:v>24300</c:v>
                </c:pt>
                <c:pt idx="9">
                  <c:v>24400</c:v>
                </c:pt>
                <c:pt idx="10">
                  <c:v>24500</c:v>
                </c:pt>
                <c:pt idx="11">
                  <c:v>24600</c:v>
                </c:pt>
                <c:pt idx="12">
                  <c:v>24700</c:v>
                </c:pt>
                <c:pt idx="13">
                  <c:v>24800</c:v>
                </c:pt>
                <c:pt idx="14">
                  <c:v>24900</c:v>
                </c:pt>
                <c:pt idx="15">
                  <c:v>25000</c:v>
                </c:pt>
                <c:pt idx="16">
                  <c:v>25100</c:v>
                </c:pt>
                <c:pt idx="17">
                  <c:v>25200</c:v>
                </c:pt>
                <c:pt idx="18">
                  <c:v>25300</c:v>
                </c:pt>
                <c:pt idx="19">
                  <c:v>25400</c:v>
                </c:pt>
                <c:pt idx="20">
                  <c:v>25500</c:v>
                </c:pt>
                <c:pt idx="21">
                  <c:v>25600</c:v>
                </c:pt>
                <c:pt idx="22">
                  <c:v>25700</c:v>
                </c:pt>
                <c:pt idx="23">
                  <c:v>25800</c:v>
                </c:pt>
                <c:pt idx="24">
                  <c:v>25900</c:v>
                </c:pt>
              </c:numCache>
            </c:numRef>
          </c:cat>
          <c:val>
            <c:numRef>
              <c:f>MAINOI!$I$7:$I$31</c:f>
              <c:numCache>
                <c:formatCode>_-* #,##0_-;\-* #,##0_-;_-* "-"??_-;_-@_-</c:formatCode>
                <c:ptCount val="25"/>
                <c:pt idx="0">
                  <c:v>63</c:v>
                </c:pt>
                <c:pt idx="1">
                  <c:v>63</c:v>
                </c:pt>
                <c:pt idx="2">
                  <c:v>67</c:v>
                </c:pt>
                <c:pt idx="3">
                  <c:v>119</c:v>
                </c:pt>
                <c:pt idx="4">
                  <c:v>118</c:v>
                </c:pt>
                <c:pt idx="5">
                  <c:v>4090</c:v>
                </c:pt>
                <c:pt idx="6">
                  <c:v>423</c:v>
                </c:pt>
                <c:pt idx="7">
                  <c:v>1733</c:v>
                </c:pt>
                <c:pt idx="8">
                  <c:v>3771</c:v>
                </c:pt>
                <c:pt idx="9">
                  <c:v>17084</c:v>
                </c:pt>
                <c:pt idx="10">
                  <c:v>107819</c:v>
                </c:pt>
                <c:pt idx="11">
                  <c:v>479929</c:v>
                </c:pt>
                <c:pt idx="12">
                  <c:v>237876</c:v>
                </c:pt>
                <c:pt idx="13">
                  <c:v>196602</c:v>
                </c:pt>
                <c:pt idx="14">
                  <c:v>129058</c:v>
                </c:pt>
                <c:pt idx="15">
                  <c:v>240808</c:v>
                </c:pt>
                <c:pt idx="16">
                  <c:v>142555</c:v>
                </c:pt>
                <c:pt idx="17">
                  <c:v>165027</c:v>
                </c:pt>
                <c:pt idx="18">
                  <c:v>103232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22-4FAC-A58D-4A4F66D198C0}"/>
            </c:ext>
          </c:extLst>
        </c:ser>
        <c:ser>
          <c:idx val="1"/>
          <c:order val="1"/>
          <c:tx>
            <c:strRef>
              <c:f>MAINOI!$Q$6</c:f>
              <c:strCache>
                <c:ptCount val="1"/>
                <c:pt idx="0">
                  <c:v>Put Net OI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dLbls>
            <c:spPr>
              <a:noFill/>
              <a:ln>
                <a:noFill/>
                <a:prstDash val="solid"/>
              </a:ln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MAINOI!$M$7:$M$31</c:f>
              <c:numCache>
                <c:formatCode>_-* #,##0_-;\-* #,##0_-;_-* "-"??_-;_-@_-</c:formatCode>
                <c:ptCount val="25"/>
                <c:pt idx="0">
                  <c:v>23600</c:v>
                </c:pt>
                <c:pt idx="1">
                  <c:v>23600</c:v>
                </c:pt>
                <c:pt idx="2">
                  <c:v>23700</c:v>
                </c:pt>
                <c:pt idx="3">
                  <c:v>23800</c:v>
                </c:pt>
                <c:pt idx="4">
                  <c:v>23900</c:v>
                </c:pt>
                <c:pt idx="5">
                  <c:v>24000</c:v>
                </c:pt>
                <c:pt idx="6">
                  <c:v>24100</c:v>
                </c:pt>
                <c:pt idx="7">
                  <c:v>24200</c:v>
                </c:pt>
                <c:pt idx="8">
                  <c:v>24300</c:v>
                </c:pt>
                <c:pt idx="9">
                  <c:v>24400</c:v>
                </c:pt>
                <c:pt idx="10">
                  <c:v>24500</c:v>
                </c:pt>
                <c:pt idx="11">
                  <c:v>24600</c:v>
                </c:pt>
                <c:pt idx="12">
                  <c:v>24700</c:v>
                </c:pt>
                <c:pt idx="13">
                  <c:v>24800</c:v>
                </c:pt>
                <c:pt idx="14">
                  <c:v>24900</c:v>
                </c:pt>
                <c:pt idx="15">
                  <c:v>25000</c:v>
                </c:pt>
                <c:pt idx="16">
                  <c:v>25100</c:v>
                </c:pt>
                <c:pt idx="17">
                  <c:v>25200</c:v>
                </c:pt>
                <c:pt idx="18">
                  <c:v>25300</c:v>
                </c:pt>
                <c:pt idx="19">
                  <c:v>25400</c:v>
                </c:pt>
                <c:pt idx="20">
                  <c:v>25500</c:v>
                </c:pt>
                <c:pt idx="21">
                  <c:v>25600</c:v>
                </c:pt>
                <c:pt idx="22">
                  <c:v>25700</c:v>
                </c:pt>
                <c:pt idx="23">
                  <c:v>25800</c:v>
                </c:pt>
                <c:pt idx="24">
                  <c:v>25900</c:v>
                </c:pt>
              </c:numCache>
            </c:numRef>
          </c:cat>
          <c:val>
            <c:numRef>
              <c:f>MAINOI!$Q$7:$Q$31</c:f>
              <c:numCache>
                <c:formatCode>_-* #,##0_-;\-* #,##0_-;_-* "-"??_-;_-@_-</c:formatCode>
                <c:ptCount val="25"/>
                <c:pt idx="0">
                  <c:v>27393</c:v>
                </c:pt>
                <c:pt idx="1">
                  <c:v>27393</c:v>
                </c:pt>
                <c:pt idx="2">
                  <c:v>36355</c:v>
                </c:pt>
                <c:pt idx="3">
                  <c:v>84235</c:v>
                </c:pt>
                <c:pt idx="4">
                  <c:v>61889</c:v>
                </c:pt>
                <c:pt idx="5">
                  <c:v>170370</c:v>
                </c:pt>
                <c:pt idx="6">
                  <c:v>81086</c:v>
                </c:pt>
                <c:pt idx="7">
                  <c:v>109831</c:v>
                </c:pt>
                <c:pt idx="8">
                  <c:v>92632</c:v>
                </c:pt>
                <c:pt idx="9">
                  <c:v>122289</c:v>
                </c:pt>
                <c:pt idx="10">
                  <c:v>444352</c:v>
                </c:pt>
                <c:pt idx="11">
                  <c:v>188875</c:v>
                </c:pt>
                <c:pt idx="12">
                  <c:v>46580</c:v>
                </c:pt>
                <c:pt idx="13">
                  <c:v>30154</c:v>
                </c:pt>
                <c:pt idx="14">
                  <c:v>18260</c:v>
                </c:pt>
                <c:pt idx="15">
                  <c:v>36654</c:v>
                </c:pt>
                <c:pt idx="16">
                  <c:v>10341</c:v>
                </c:pt>
                <c:pt idx="17">
                  <c:v>13785</c:v>
                </c:pt>
                <c:pt idx="18">
                  <c:v>4206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922-4FAC-A58D-4A4F66D198C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36717312"/>
        <c:axId val="36718848"/>
      </c:barChart>
      <c:catAx>
        <c:axId val="367173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_-* #,##0_-;\-* #,##0_-;_-* &quot;-&quot;??_-;_-@_-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800" b="0" i="0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18848"/>
        <c:crosses val="autoZero"/>
        <c:auto val="1"/>
        <c:lblAlgn val="ctr"/>
        <c:lblOffset val="100"/>
        <c:noMultiLvlLbl val="0"/>
      </c:catAx>
      <c:valAx>
        <c:axId val="36718848"/>
        <c:scaling>
          <c:orientation val="minMax"/>
        </c:scaling>
        <c:delete val="1"/>
        <c:axPos val="l"/>
        <c:numFmt formatCode="_-* #,##0_-;\-* #,##0_-;_-* &quot;-&quot;??_-;_-@_-" sourceLinked="1"/>
        <c:majorTickMark val="none"/>
        <c:minorTickMark val="none"/>
        <c:tickLblPos val="nextTo"/>
        <c:crossAx val="36717312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0.20610664331710279"/>
          <c:y val="2.3834247582805359E-2"/>
          <c:w val="0.59637391528585881"/>
          <c:h val="6.628273859384598E-2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105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1"/>
  <c:style val="2"/>
  <c:chart>
    <c:title>
      <c:tx>
        <c:rich>
          <a:bodyPr/>
          <a:lstStyle/>
          <a:p>
            <a:r>
              <a:t>None</a:t>
            </a:r>
          </a:p>
        </c:rich>
      </c:tx>
      <c:layout>
        <c:manualLayout>
          <c:xMode val="edge"/>
          <c:yMode val="edge"/>
          <c:x val="0.70393744531933511"/>
          <c:y val="0"/>
        </c:manualLayout>
      </c:layout>
      <c:overlay val="0"/>
      <c:spPr>
        <a:noFill/>
        <a:ln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6.9428258967629053E-2"/>
          <c:y val="0.18274351122776319"/>
          <c:w val="0.88839107611548551"/>
          <c:h val="0.6714577865266842"/>
        </c:manualLayout>
      </c:layout>
      <c:lineChart>
        <c:grouping val="standard"/>
        <c:varyColors val="0"/>
        <c:ser>
          <c:idx val="0"/>
          <c:order val="0"/>
          <c:tx>
            <c:strRef>
              <c:f>Records!$I$3</c:f>
              <c:strCache>
                <c:ptCount val="1"/>
                <c:pt idx="0">
                  <c:v>CHNG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val>
            <c:numRef>
              <c:f>Records!$I$4:$I$43</c:f>
              <c:numCache>
                <c:formatCode>General</c:formatCode>
                <c:ptCount val="40"/>
                <c:pt idx="0">
                  <c:v>-1.0161846643672059</c:v>
                </c:pt>
                <c:pt idx="1">
                  <c:v>-1.0770558836892321</c:v>
                </c:pt>
                <c:pt idx="2">
                  <c:v>-1.162945876925612</c:v>
                </c:pt>
                <c:pt idx="3">
                  <c:v>-1.244548410118151</c:v>
                </c:pt>
                <c:pt idx="4">
                  <c:v>-1.29628753842516</c:v>
                </c:pt>
                <c:pt idx="5">
                  <c:v>-1.284317686030541</c:v>
                </c:pt>
                <c:pt idx="6">
                  <c:v>-1.2828323420671921</c:v>
                </c:pt>
                <c:pt idx="7">
                  <c:v>-1.3142603502542169</c:v>
                </c:pt>
                <c:pt idx="8">
                  <c:v>-1.33044047813984</c:v>
                </c:pt>
                <c:pt idx="9">
                  <c:v>-1.33044047813984</c:v>
                </c:pt>
                <c:pt idx="10">
                  <c:v>-1.321060382916053</c:v>
                </c:pt>
                <c:pt idx="11">
                  <c:v>-1.343585092348285</c:v>
                </c:pt>
                <c:pt idx="12">
                  <c:v>-1.343585092348285</c:v>
                </c:pt>
                <c:pt idx="13">
                  <c:v>-1.349596149139267</c:v>
                </c:pt>
                <c:pt idx="14">
                  <c:v>-1.3678047171367309</c:v>
                </c:pt>
                <c:pt idx="15">
                  <c:v>-1.376897959183673</c:v>
                </c:pt>
                <c:pt idx="16">
                  <c:v>-1.3778989340060219</c:v>
                </c:pt>
                <c:pt idx="17">
                  <c:v>-1.365174938974776</c:v>
                </c:pt>
                <c:pt idx="18">
                  <c:v>-1.3454192295241181</c:v>
                </c:pt>
                <c:pt idx="19">
                  <c:v>-1.3454192295241181</c:v>
                </c:pt>
                <c:pt idx="20">
                  <c:v>-1.353875325906613</c:v>
                </c:pt>
                <c:pt idx="21">
                  <c:v>-1.415863840719332</c:v>
                </c:pt>
                <c:pt idx="22">
                  <c:v>-1.415863840719332</c:v>
                </c:pt>
                <c:pt idx="23">
                  <c:v>-1.415863840719332</c:v>
                </c:pt>
                <c:pt idx="24">
                  <c:v>-1.3726100151745071</c:v>
                </c:pt>
                <c:pt idx="25">
                  <c:v>-1.374030861874294</c:v>
                </c:pt>
                <c:pt idx="26">
                  <c:v>-1.374030861874294</c:v>
                </c:pt>
                <c:pt idx="27">
                  <c:v>-1.376578472639808</c:v>
                </c:pt>
                <c:pt idx="28">
                  <c:v>-1.366074801662259</c:v>
                </c:pt>
                <c:pt idx="29">
                  <c:v>-1.366074801662259</c:v>
                </c:pt>
                <c:pt idx="30">
                  <c:v>-1.366074801662259</c:v>
                </c:pt>
                <c:pt idx="31">
                  <c:v>-1.366074801662259</c:v>
                </c:pt>
                <c:pt idx="32">
                  <c:v>-1.366074801662259</c:v>
                </c:pt>
                <c:pt idx="33">
                  <c:v>-1.381325949853869</c:v>
                </c:pt>
                <c:pt idx="34">
                  <c:v>-1.450054120921602</c:v>
                </c:pt>
                <c:pt idx="35">
                  <c:v>-1.450054120921602</c:v>
                </c:pt>
                <c:pt idx="36">
                  <c:v>-1.450054120921602</c:v>
                </c:pt>
                <c:pt idx="37">
                  <c:v>-1.450054120921602</c:v>
                </c:pt>
                <c:pt idx="38">
                  <c:v>-1.470725087243117</c:v>
                </c:pt>
                <c:pt idx="39">
                  <c:v>-1.8820790020790019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45-4DE9-9F42-8269B4133638}"/>
            </c:ext>
          </c:extLst>
        </c:ser>
        <c:ser>
          <c:idx val="1"/>
          <c:order val="1"/>
          <c:tx>
            <c:strRef>
              <c:f>Records!$J$3</c:f>
              <c:strCache>
                <c:ptCount val="1"/>
                <c:pt idx="0">
                  <c:v>V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olid"/>
              <a:round/>
            </a:ln>
          </c:spPr>
          <c:marker>
            <c:symbol val="none"/>
          </c:marker>
          <c:val>
            <c:numRef>
              <c:f>Records!$J$4:$J$43</c:f>
              <c:numCache>
                <c:formatCode>General</c:formatCode>
                <c:ptCount val="40"/>
                <c:pt idx="0">
                  <c:v>0.66609705755292081</c:v>
                </c:pt>
                <c:pt idx="1">
                  <c:v>0.66577172656697947</c:v>
                </c:pt>
                <c:pt idx="2">
                  <c:v>0.67302381097587538</c:v>
                </c:pt>
                <c:pt idx="3">
                  <c:v>0.71241971988608366</c:v>
                </c:pt>
                <c:pt idx="4">
                  <c:v>0.73421605037946069</c:v>
                </c:pt>
                <c:pt idx="5">
                  <c:v>0.7320291245341175</c:v>
                </c:pt>
                <c:pt idx="6">
                  <c:v>0.73491264806075574</c:v>
                </c:pt>
                <c:pt idx="7">
                  <c:v>0.73345650762237546</c:v>
                </c:pt>
                <c:pt idx="8">
                  <c:v>0.73497972156594149</c:v>
                </c:pt>
                <c:pt idx="9">
                  <c:v>0.74298602199288422</c:v>
                </c:pt>
                <c:pt idx="10">
                  <c:v>0.7458067871538161</c:v>
                </c:pt>
                <c:pt idx="11">
                  <c:v>0.74383073360955398</c:v>
                </c:pt>
                <c:pt idx="12">
                  <c:v>0.74281736393283848</c:v>
                </c:pt>
                <c:pt idx="13">
                  <c:v>0.74557960478238927</c:v>
                </c:pt>
                <c:pt idx="14">
                  <c:v>0.73962475706383612</c:v>
                </c:pt>
                <c:pt idx="15">
                  <c:v>0.73643485329983005</c:v>
                </c:pt>
                <c:pt idx="16">
                  <c:v>0.73487109905020354</c:v>
                </c:pt>
                <c:pt idx="17">
                  <c:v>0.73533805002805241</c:v>
                </c:pt>
                <c:pt idx="18">
                  <c:v>0.73619013793553345</c:v>
                </c:pt>
                <c:pt idx="19">
                  <c:v>0.73455067321491674</c:v>
                </c:pt>
                <c:pt idx="20">
                  <c:v>0.71136754337734287</c:v>
                </c:pt>
                <c:pt idx="21">
                  <c:v>0.70508634965696715</c:v>
                </c:pt>
                <c:pt idx="22">
                  <c:v>0.68676148069382603</c:v>
                </c:pt>
                <c:pt idx="23">
                  <c:v>0.68514311376454584</c:v>
                </c:pt>
                <c:pt idx="24">
                  <c:v>0.68147516800524499</c:v>
                </c:pt>
                <c:pt idx="25">
                  <c:v>0.68356546324772927</c:v>
                </c:pt>
                <c:pt idx="26">
                  <c:v>0.67594221508828245</c:v>
                </c:pt>
                <c:pt idx="27">
                  <c:v>0.66904813405774055</c:v>
                </c:pt>
                <c:pt idx="28">
                  <c:v>0.66898917218815457</c:v>
                </c:pt>
                <c:pt idx="29">
                  <c:v>0.66898917218815457</c:v>
                </c:pt>
                <c:pt idx="30">
                  <c:v>0.65899899361791237</c:v>
                </c:pt>
                <c:pt idx="31">
                  <c:v>0.65899899361791237</c:v>
                </c:pt>
                <c:pt idx="32">
                  <c:v>0.65988382986696648</c:v>
                </c:pt>
                <c:pt idx="33">
                  <c:v>0.66052679021018146</c:v>
                </c:pt>
                <c:pt idx="34">
                  <c:v>0.66004061064543684</c:v>
                </c:pt>
                <c:pt idx="35">
                  <c:v>0.65910560245303584</c:v>
                </c:pt>
                <c:pt idx="36">
                  <c:v>0.65158597459023393</c:v>
                </c:pt>
                <c:pt idx="37">
                  <c:v>0.65158597459023393</c:v>
                </c:pt>
                <c:pt idx="38">
                  <c:v>0.63365062260536398</c:v>
                </c:pt>
                <c:pt idx="39">
                  <c:v>0.62398683325664528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B45-4DE9-9F42-8269B4133638}"/>
            </c:ext>
          </c:extLst>
        </c:ser>
        <c:ser>
          <c:idx val="2"/>
          <c:order val="2"/>
          <c:tx>
            <c:strRef>
              <c:f>Records!$K$3</c:f>
              <c:strCache>
                <c:ptCount val="1"/>
                <c:pt idx="0">
                  <c:v>IO</c:v>
                </c:pt>
              </c:strCache>
            </c:strRef>
          </c:tx>
          <c:spPr>
            <a:ln w="28575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val>
            <c:numRef>
              <c:f>Records!$K$4:$K$43</c:f>
              <c:numCache>
                <c:formatCode>General</c:formatCode>
                <c:ptCount val="40"/>
                <c:pt idx="0">
                  <c:v>0.79471523933334309</c:v>
                </c:pt>
                <c:pt idx="1">
                  <c:v>0.7929106941122962</c:v>
                </c:pt>
                <c:pt idx="2">
                  <c:v>0.74726162815868846</c:v>
                </c:pt>
                <c:pt idx="3">
                  <c:v>0.71958718555149426</c:v>
                </c:pt>
                <c:pt idx="4">
                  <c:v>0.70805114474305919</c:v>
                </c:pt>
                <c:pt idx="5">
                  <c:v>0.71911809121111447</c:v>
                </c:pt>
                <c:pt idx="6">
                  <c:v>0.71751250071843209</c:v>
                </c:pt>
                <c:pt idx="7">
                  <c:v>0.71337982601193473</c:v>
                </c:pt>
                <c:pt idx="8">
                  <c:v>0.71570464767616193</c:v>
                </c:pt>
                <c:pt idx="9">
                  <c:v>0.71570464767616193</c:v>
                </c:pt>
                <c:pt idx="10">
                  <c:v>0.71712119464944646</c:v>
                </c:pt>
                <c:pt idx="11">
                  <c:v>0.71594353511734654</c:v>
                </c:pt>
                <c:pt idx="12">
                  <c:v>0.71594353511734654</c:v>
                </c:pt>
                <c:pt idx="13">
                  <c:v>0.71105444382014382</c:v>
                </c:pt>
                <c:pt idx="14">
                  <c:v>0.71176385681293297</c:v>
                </c:pt>
                <c:pt idx="15">
                  <c:v>0.70644343265517839</c:v>
                </c:pt>
                <c:pt idx="16">
                  <c:v>0.70509626600233288</c:v>
                </c:pt>
                <c:pt idx="17">
                  <c:v>0.7073181268360117</c:v>
                </c:pt>
                <c:pt idx="18">
                  <c:v>0.70886203423967775</c:v>
                </c:pt>
                <c:pt idx="19">
                  <c:v>0.70886203423967775</c:v>
                </c:pt>
                <c:pt idx="20">
                  <c:v>0.6984715875721591</c:v>
                </c:pt>
                <c:pt idx="21">
                  <c:v>0.69330555954604223</c:v>
                </c:pt>
                <c:pt idx="22">
                  <c:v>0.69330555954604223</c:v>
                </c:pt>
                <c:pt idx="23">
                  <c:v>0.69330555954604223</c:v>
                </c:pt>
                <c:pt idx="24">
                  <c:v>0.67969971848608068</c:v>
                </c:pt>
                <c:pt idx="25">
                  <c:v>0.6763724641178892</c:v>
                </c:pt>
                <c:pt idx="26">
                  <c:v>0.6763724641178892</c:v>
                </c:pt>
                <c:pt idx="27">
                  <c:v>0.67533849953163583</c:v>
                </c:pt>
                <c:pt idx="28">
                  <c:v>0.67932489451476796</c:v>
                </c:pt>
                <c:pt idx="29">
                  <c:v>0.67932489451476796</c:v>
                </c:pt>
                <c:pt idx="30">
                  <c:v>0.67932489451476796</c:v>
                </c:pt>
                <c:pt idx="31">
                  <c:v>0.67932489451476796</c:v>
                </c:pt>
                <c:pt idx="32">
                  <c:v>0.67932489451476796</c:v>
                </c:pt>
                <c:pt idx="33">
                  <c:v>0.68329152175152519</c:v>
                </c:pt>
                <c:pt idx="34">
                  <c:v>0.67261157402123051</c:v>
                </c:pt>
                <c:pt idx="35">
                  <c:v>0.67261157402123051</c:v>
                </c:pt>
                <c:pt idx="36">
                  <c:v>0.67261157402123051</c:v>
                </c:pt>
                <c:pt idx="37">
                  <c:v>0.67261157402123051</c:v>
                </c:pt>
                <c:pt idx="38">
                  <c:v>0.66998815115133692</c:v>
                </c:pt>
                <c:pt idx="39">
                  <c:v>0.62540655401205569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B45-4DE9-9F42-8269B41336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81567616"/>
        <c:axId val="328513760"/>
      </c:lineChart>
      <c:catAx>
        <c:axId val="38156761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513760"/>
        <c:crosses val="autoZero"/>
        <c:auto val="1"/>
        <c:lblAlgn val="ctr"/>
        <c:lblOffset val="100"/>
        <c:noMultiLvlLbl val="0"/>
      </c:catAx>
      <c:valAx>
        <c:axId val="328513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56761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1"/>
  <c:style val="2"/>
  <c:chart>
    <c:title>
      <c:tx>
        <c:rich>
          <a:bodyPr/>
          <a:lstStyle/>
          <a:p>
            <a:r>
              <a:rPr lang="en-GB"/>
              <a:t>None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Records!$D$3</c:f>
              <c:strCache>
                <c:ptCount val="1"/>
                <c:pt idx="0">
                  <c:v>CHNG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val>
            <c:numRef>
              <c:f>Records!$D$4:$D$43</c:f>
              <c:numCache>
                <c:formatCode>General</c:formatCode>
                <c:ptCount val="40"/>
                <c:pt idx="0">
                  <c:v>-0.40833112231361102</c:v>
                </c:pt>
                <c:pt idx="1">
                  <c:v>-0.38682417083144027</c:v>
                </c:pt>
                <c:pt idx="2">
                  <c:v>-0.51190378120108737</c:v>
                </c:pt>
                <c:pt idx="3">
                  <c:v>-0.52890333835540404</c:v>
                </c:pt>
                <c:pt idx="4">
                  <c:v>-0.49625601008906761</c:v>
                </c:pt>
                <c:pt idx="5">
                  <c:v>-0.46788397834693379</c:v>
                </c:pt>
                <c:pt idx="6">
                  <c:v>-0.47066388040507962</c:v>
                </c:pt>
                <c:pt idx="7">
                  <c:v>-0.46606407876684691</c:v>
                </c:pt>
                <c:pt idx="8">
                  <c:v>-0.46373014573440308</c:v>
                </c:pt>
                <c:pt idx="9">
                  <c:v>-0.46373014573440308</c:v>
                </c:pt>
                <c:pt idx="10">
                  <c:v>-0.4514809360170185</c:v>
                </c:pt>
                <c:pt idx="11">
                  <c:v>-0.44566292875989438</c:v>
                </c:pt>
                <c:pt idx="12">
                  <c:v>-0.44566292875989438</c:v>
                </c:pt>
                <c:pt idx="13">
                  <c:v>-0.45386309863751328</c:v>
                </c:pt>
                <c:pt idx="14">
                  <c:v>-0.44837539172027052</c:v>
                </c:pt>
                <c:pt idx="15">
                  <c:v>-0.45444897959183672</c:v>
                </c:pt>
                <c:pt idx="16">
                  <c:v>-0.45715680690048011</c:v>
                </c:pt>
                <c:pt idx="17">
                  <c:v>-0.4561432058584215</c:v>
                </c:pt>
                <c:pt idx="18">
                  <c:v>-0.44156685011330532</c:v>
                </c:pt>
                <c:pt idx="19">
                  <c:v>-0.44156685011330532</c:v>
                </c:pt>
                <c:pt idx="20">
                  <c:v>-0.45065971399225718</c:v>
                </c:pt>
                <c:pt idx="21">
                  <c:v>-0.44388246628131017</c:v>
                </c:pt>
                <c:pt idx="22">
                  <c:v>-0.44388246628131017</c:v>
                </c:pt>
                <c:pt idx="23">
                  <c:v>-0.44388246628131017</c:v>
                </c:pt>
                <c:pt idx="24">
                  <c:v>-0.46638846737481032</c:v>
                </c:pt>
                <c:pt idx="25">
                  <c:v>-0.47015430937147162</c:v>
                </c:pt>
                <c:pt idx="26">
                  <c:v>-0.47015430937147162</c:v>
                </c:pt>
                <c:pt idx="27">
                  <c:v>-0.46670174383644009</c:v>
                </c:pt>
                <c:pt idx="28">
                  <c:v>-0.45621458254627878</c:v>
                </c:pt>
                <c:pt idx="29">
                  <c:v>-0.45621458254627878</c:v>
                </c:pt>
                <c:pt idx="30">
                  <c:v>-0.45621458254627878</c:v>
                </c:pt>
                <c:pt idx="31">
                  <c:v>-0.45621458254627878</c:v>
                </c:pt>
                <c:pt idx="32">
                  <c:v>-0.45621458254627878</c:v>
                </c:pt>
                <c:pt idx="33">
                  <c:v>-0.45185356099061691</c:v>
                </c:pt>
                <c:pt idx="34">
                  <c:v>-0.46953765269831449</c:v>
                </c:pt>
                <c:pt idx="35">
                  <c:v>-0.46953765269831449</c:v>
                </c:pt>
                <c:pt idx="36">
                  <c:v>-0.46953765269831449</c:v>
                </c:pt>
                <c:pt idx="37">
                  <c:v>-0.46953765269831449</c:v>
                </c:pt>
                <c:pt idx="38">
                  <c:v>-0.47514540519581228</c:v>
                </c:pt>
                <c:pt idx="39">
                  <c:v>-0.47185031185031179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27-4ABC-BEAD-89DABEA872A6}"/>
            </c:ext>
          </c:extLst>
        </c:ser>
        <c:ser>
          <c:idx val="1"/>
          <c:order val="1"/>
          <c:tx>
            <c:strRef>
              <c:f>Records!$E$3</c:f>
              <c:strCache>
                <c:ptCount val="1"/>
                <c:pt idx="0">
                  <c:v>V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val>
            <c:numRef>
              <c:f>Records!$E$4:$E$43</c:f>
              <c:numCache>
                <c:formatCode>General</c:formatCode>
                <c:ptCount val="40"/>
                <c:pt idx="0">
                  <c:v>-4.358469735515768E-2</c:v>
                </c:pt>
                <c:pt idx="1">
                  <c:v>-4.7808003494816932E-2</c:v>
                </c:pt>
                <c:pt idx="2">
                  <c:v>-0.28998335932531211</c:v>
                </c:pt>
                <c:pt idx="3">
                  <c:v>-0.29543917084944499</c:v>
                </c:pt>
                <c:pt idx="4">
                  <c:v>-0.274761827870176</c:v>
                </c:pt>
                <c:pt idx="5">
                  <c:v>1.6732453726273411E-2</c:v>
                </c:pt>
                <c:pt idx="6">
                  <c:v>1.8822077069725291E-2</c:v>
                </c:pt>
                <c:pt idx="7">
                  <c:v>1.8599833018955441E-2</c:v>
                </c:pt>
                <c:pt idx="8">
                  <c:v>2.03323046613463E-2</c:v>
                </c:pt>
                <c:pt idx="9">
                  <c:v>2.050978614187024E-2</c:v>
                </c:pt>
                <c:pt idx="10">
                  <c:v>2.263149441287372E-2</c:v>
                </c:pt>
                <c:pt idx="11">
                  <c:v>2.1440104801364851E-2</c:v>
                </c:pt>
                <c:pt idx="12">
                  <c:v>1.9733805491869639E-2</c:v>
                </c:pt>
                <c:pt idx="13">
                  <c:v>1.9180786065678749E-2</c:v>
                </c:pt>
                <c:pt idx="14">
                  <c:v>1.5876812677530269E-2</c:v>
                </c:pt>
                <c:pt idx="15">
                  <c:v>1.260069470105683E-2</c:v>
                </c:pt>
                <c:pt idx="16">
                  <c:v>9.6886574498514805E-3</c:v>
                </c:pt>
                <c:pt idx="17">
                  <c:v>1.149056782495282E-2</c:v>
                </c:pt>
                <c:pt idx="18">
                  <c:v>1.065503069663605E-2</c:v>
                </c:pt>
                <c:pt idx="19">
                  <c:v>8.0338662801179832E-3</c:v>
                </c:pt>
                <c:pt idx="20">
                  <c:v>-3.118018387956654E-3</c:v>
                </c:pt>
                <c:pt idx="21">
                  <c:v>-1.2234276251309611E-2</c:v>
                </c:pt>
                <c:pt idx="22">
                  <c:v>-2.3400013291686051E-2</c:v>
                </c:pt>
                <c:pt idx="23">
                  <c:v>-2.701131965816482E-2</c:v>
                </c:pt>
                <c:pt idx="24">
                  <c:v>-3.032945418783806E-2</c:v>
                </c:pt>
                <c:pt idx="25">
                  <c:v>-3.0519696761934612E-2</c:v>
                </c:pt>
                <c:pt idx="26">
                  <c:v>-3.9113964686998397E-2</c:v>
                </c:pt>
                <c:pt idx="27">
                  <c:v>-3.9526420928072473E-2</c:v>
                </c:pt>
                <c:pt idx="28">
                  <c:v>-3.976736974667603E-2</c:v>
                </c:pt>
                <c:pt idx="29">
                  <c:v>-3.976736974667603E-2</c:v>
                </c:pt>
                <c:pt idx="30">
                  <c:v>-4.4880890616893467E-2</c:v>
                </c:pt>
                <c:pt idx="31">
                  <c:v>-4.4880890616893467E-2</c:v>
                </c:pt>
                <c:pt idx="32">
                  <c:v>-4.3994753606895261E-2</c:v>
                </c:pt>
                <c:pt idx="33">
                  <c:v>-4.4572643462368132E-2</c:v>
                </c:pt>
                <c:pt idx="34">
                  <c:v>-4.3538821548404667E-2</c:v>
                </c:pt>
                <c:pt idx="35">
                  <c:v>-4.478760675077427E-2</c:v>
                </c:pt>
                <c:pt idx="36">
                  <c:v>-4.5400734710814412E-2</c:v>
                </c:pt>
                <c:pt idx="37">
                  <c:v>-4.5400734710814412E-2</c:v>
                </c:pt>
                <c:pt idx="38">
                  <c:v>-0.23656609195402301</c:v>
                </c:pt>
                <c:pt idx="39">
                  <c:v>-0.24188581743531659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027-4ABC-BEAD-89DABEA872A6}"/>
            </c:ext>
          </c:extLst>
        </c:ser>
        <c:ser>
          <c:idx val="2"/>
          <c:order val="2"/>
          <c:tx>
            <c:strRef>
              <c:f>Records!$F$3</c:f>
              <c:strCache>
                <c:ptCount val="1"/>
                <c:pt idx="0">
                  <c:v>IO</c:v>
                </c:pt>
              </c:strCache>
            </c:strRef>
          </c:tx>
          <c:spPr>
            <a:ln w="28575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val>
            <c:numRef>
              <c:f>Records!$F$4:$F$43</c:f>
              <c:numCache>
                <c:formatCode>General</c:formatCode>
                <c:ptCount val="40"/>
                <c:pt idx="0">
                  <c:v>-0.58129445961934534</c:v>
                </c:pt>
                <c:pt idx="1">
                  <c:v>-0.57858830088469604</c:v>
                </c:pt>
                <c:pt idx="2">
                  <c:v>-2.7766152425208891E-2</c:v>
                </c:pt>
                <c:pt idx="3">
                  <c:v>-3.4114527341790303E-2</c:v>
                </c:pt>
                <c:pt idx="4">
                  <c:v>-2.8722383700118839E-2</c:v>
                </c:pt>
                <c:pt idx="5">
                  <c:v>-0.58923357926680187</c:v>
                </c:pt>
                <c:pt idx="6">
                  <c:v>-0.58961721938042411</c:v>
                </c:pt>
                <c:pt idx="7">
                  <c:v>-0.58888489467251415</c:v>
                </c:pt>
                <c:pt idx="8">
                  <c:v>-0.58878733710068043</c:v>
                </c:pt>
                <c:pt idx="9">
                  <c:v>-0.58878733710068043</c:v>
                </c:pt>
                <c:pt idx="10">
                  <c:v>-0.58661496771217714</c:v>
                </c:pt>
                <c:pt idx="11">
                  <c:v>-0.58577985623971596</c:v>
                </c:pt>
                <c:pt idx="12">
                  <c:v>-0.58577985623971596</c:v>
                </c:pt>
                <c:pt idx="13">
                  <c:v>-0.58696748354007289</c:v>
                </c:pt>
                <c:pt idx="14">
                  <c:v>-0.58625866050808317</c:v>
                </c:pt>
                <c:pt idx="15">
                  <c:v>-0.58708431790674886</c:v>
                </c:pt>
                <c:pt idx="16">
                  <c:v>-0.58748901977161128</c:v>
                </c:pt>
                <c:pt idx="17">
                  <c:v>-0.58730775876965613</c:v>
                </c:pt>
                <c:pt idx="18">
                  <c:v>-0.5845921450151057</c:v>
                </c:pt>
                <c:pt idx="19">
                  <c:v>-0.5845921450151057</c:v>
                </c:pt>
                <c:pt idx="20">
                  <c:v>-0.5856240420564095</c:v>
                </c:pt>
                <c:pt idx="21">
                  <c:v>-0.58480103433414743</c:v>
                </c:pt>
                <c:pt idx="22">
                  <c:v>-0.58480103433414743</c:v>
                </c:pt>
                <c:pt idx="23">
                  <c:v>-0.58480103433414743</c:v>
                </c:pt>
                <c:pt idx="24">
                  <c:v>-0.58756789035175017</c:v>
                </c:pt>
                <c:pt idx="25">
                  <c:v>-0.58809750280384443</c:v>
                </c:pt>
                <c:pt idx="26">
                  <c:v>-0.58809750280384443</c:v>
                </c:pt>
                <c:pt idx="27">
                  <c:v>-0.58741377842118714</c:v>
                </c:pt>
                <c:pt idx="28">
                  <c:v>-0.58556024378809191</c:v>
                </c:pt>
                <c:pt idx="29">
                  <c:v>-0.58556024378809191</c:v>
                </c:pt>
                <c:pt idx="30">
                  <c:v>-0.58556024378809191</c:v>
                </c:pt>
                <c:pt idx="31">
                  <c:v>-0.58556024378809191</c:v>
                </c:pt>
                <c:pt idx="32">
                  <c:v>-0.58556024378809191</c:v>
                </c:pt>
                <c:pt idx="33">
                  <c:v>-0.58518159530189862</c:v>
                </c:pt>
                <c:pt idx="34">
                  <c:v>-0.58857436365711679</c:v>
                </c:pt>
                <c:pt idx="35">
                  <c:v>-0.58857436365711679</c:v>
                </c:pt>
                <c:pt idx="36">
                  <c:v>-0.58857436365711679</c:v>
                </c:pt>
                <c:pt idx="37">
                  <c:v>-0.58857436365711679</c:v>
                </c:pt>
                <c:pt idx="38">
                  <c:v>-2.6224499992862142E-2</c:v>
                </c:pt>
                <c:pt idx="39">
                  <c:v>-2.0006071206580031E-2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027-4ABC-BEAD-89DABEA872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3363200"/>
        <c:axId val="1660855407"/>
      </c:lineChart>
      <c:catAx>
        <c:axId val="26336320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0855407"/>
        <c:crosses val="autoZero"/>
        <c:auto val="1"/>
        <c:lblAlgn val="ctr"/>
        <c:lblOffset val="100"/>
        <c:noMultiLvlLbl val="0"/>
      </c:catAx>
      <c:valAx>
        <c:axId val="16608554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3363200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1"/>
  <c:style val="2"/>
  <c:chart>
    <c:title>
      <c:tx>
        <c:rich>
          <a:bodyPr/>
          <a:lstStyle/>
          <a:p>
            <a:r>
              <a:rPr lang="en-GB"/>
              <a:t>None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Records!$C$3</c:f>
              <c:strCache>
                <c:ptCount val="1"/>
                <c:pt idx="0">
                  <c:v>PCR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val>
            <c:numRef>
              <c:f>Records!$C$4:$C$43</c:f>
              <c:numCache>
                <c:formatCode>General</c:formatCode>
                <c:ptCount val="40"/>
                <c:pt idx="0">
                  <c:v>1.5017580893971281</c:v>
                </c:pt>
                <c:pt idx="1">
                  <c:v>1.489971992269453</c:v>
                </c:pt>
                <c:pt idx="2">
                  <c:v>1.4923184488323169</c:v>
                </c:pt>
                <c:pt idx="3">
                  <c:v>1.3185299915516751</c:v>
                </c:pt>
                <c:pt idx="4">
                  <c:v>1.3267368587054851</c:v>
                </c:pt>
                <c:pt idx="5">
                  <c:v>1.5162387848696339</c:v>
                </c:pt>
                <c:pt idx="6">
                  <c:v>1.516064137334963</c:v>
                </c:pt>
                <c:pt idx="7">
                  <c:v>1.5142159082935169</c:v>
                </c:pt>
                <c:pt idx="8">
                  <c:v>1.508515722311192</c:v>
                </c:pt>
                <c:pt idx="9">
                  <c:v>1.508560461303156</c:v>
                </c:pt>
                <c:pt idx="10">
                  <c:v>1.506520470556397</c:v>
                </c:pt>
                <c:pt idx="11">
                  <c:v>1.320138167747013</c:v>
                </c:pt>
                <c:pt idx="12">
                  <c:v>1.320138167747013</c:v>
                </c:pt>
                <c:pt idx="13">
                  <c:v>1.3189730923080289</c:v>
                </c:pt>
                <c:pt idx="14">
                  <c:v>1.319087826374401</c:v>
                </c:pt>
                <c:pt idx="15">
                  <c:v>1.317209967463177</c:v>
                </c:pt>
                <c:pt idx="16">
                  <c:v>1.316760415777855</c:v>
                </c:pt>
                <c:pt idx="17">
                  <c:v>1.3179082592900599</c:v>
                </c:pt>
                <c:pt idx="18">
                  <c:v>1.5048611390771149</c:v>
                </c:pt>
                <c:pt idx="19">
                  <c:v>1.5049046829760451</c:v>
                </c:pt>
                <c:pt idx="20">
                  <c:v>1.326816311902359</c:v>
                </c:pt>
                <c:pt idx="21">
                  <c:v>1.334410238886645</c:v>
                </c:pt>
                <c:pt idx="22">
                  <c:v>1.333302272954175</c:v>
                </c:pt>
                <c:pt idx="23">
                  <c:v>1.333302272954175</c:v>
                </c:pt>
                <c:pt idx="24">
                  <c:v>1.3331227766880549</c:v>
                </c:pt>
                <c:pt idx="25">
                  <c:v>1.3356487697487121</c:v>
                </c:pt>
                <c:pt idx="26">
                  <c:v>1.336997752489584</c:v>
                </c:pt>
                <c:pt idx="27">
                  <c:v>1.340709652804273</c:v>
                </c:pt>
                <c:pt idx="28">
                  <c:v>1.347421256526866</c:v>
                </c:pt>
                <c:pt idx="29">
                  <c:v>1.347421256526866</c:v>
                </c:pt>
                <c:pt idx="30">
                  <c:v>1.347711698757555</c:v>
                </c:pt>
                <c:pt idx="31">
                  <c:v>1.347711698757555</c:v>
                </c:pt>
                <c:pt idx="32">
                  <c:v>1.347711698757555</c:v>
                </c:pt>
                <c:pt idx="33">
                  <c:v>1.347658481510303</c:v>
                </c:pt>
                <c:pt idx="34">
                  <c:v>1.3474047224617109</c:v>
                </c:pt>
                <c:pt idx="35">
                  <c:v>1.3474047224617109</c:v>
                </c:pt>
                <c:pt idx="36">
                  <c:v>1.3475536393494429</c:v>
                </c:pt>
                <c:pt idx="37">
                  <c:v>1.3475536393494429</c:v>
                </c:pt>
                <c:pt idx="38">
                  <c:v>1.3526576081526629</c:v>
                </c:pt>
                <c:pt idx="39">
                  <c:v>1.3551873581450979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2A-4E58-8EE0-616C7E4080B4}"/>
            </c:ext>
          </c:extLst>
        </c:ser>
        <c:ser>
          <c:idx val="1"/>
          <c:order val="1"/>
          <c:tx>
            <c:strRef>
              <c:f>Records!$D$3</c:f>
              <c:strCache>
                <c:ptCount val="1"/>
                <c:pt idx="0">
                  <c:v>CHNG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val>
            <c:numRef>
              <c:f>Records!$D$4:$D$43</c:f>
              <c:numCache>
                <c:formatCode>General</c:formatCode>
                <c:ptCount val="40"/>
                <c:pt idx="0">
                  <c:v>-0.40833112231361102</c:v>
                </c:pt>
                <c:pt idx="1">
                  <c:v>-0.38682417083144027</c:v>
                </c:pt>
                <c:pt idx="2">
                  <c:v>-0.51190378120108737</c:v>
                </c:pt>
                <c:pt idx="3">
                  <c:v>-0.52890333835540404</c:v>
                </c:pt>
                <c:pt idx="4">
                  <c:v>-0.49625601008906761</c:v>
                </c:pt>
                <c:pt idx="5">
                  <c:v>-0.46788397834693379</c:v>
                </c:pt>
                <c:pt idx="6">
                  <c:v>-0.47066388040507962</c:v>
                </c:pt>
                <c:pt idx="7">
                  <c:v>-0.46606407876684691</c:v>
                </c:pt>
                <c:pt idx="8">
                  <c:v>-0.46373014573440308</c:v>
                </c:pt>
                <c:pt idx="9">
                  <c:v>-0.46373014573440308</c:v>
                </c:pt>
                <c:pt idx="10">
                  <c:v>-0.4514809360170185</c:v>
                </c:pt>
                <c:pt idx="11">
                  <c:v>-0.44566292875989438</c:v>
                </c:pt>
                <c:pt idx="12">
                  <c:v>-0.44566292875989438</c:v>
                </c:pt>
                <c:pt idx="13">
                  <c:v>-0.45386309863751328</c:v>
                </c:pt>
                <c:pt idx="14">
                  <c:v>-0.44837539172027052</c:v>
                </c:pt>
                <c:pt idx="15">
                  <c:v>-0.45444897959183672</c:v>
                </c:pt>
                <c:pt idx="16">
                  <c:v>-0.45715680690048011</c:v>
                </c:pt>
                <c:pt idx="17">
                  <c:v>-0.4561432058584215</c:v>
                </c:pt>
                <c:pt idx="18">
                  <c:v>-0.44156685011330532</c:v>
                </c:pt>
                <c:pt idx="19">
                  <c:v>-0.44156685011330532</c:v>
                </c:pt>
                <c:pt idx="20">
                  <c:v>-0.45065971399225718</c:v>
                </c:pt>
                <c:pt idx="21">
                  <c:v>-0.44388246628131017</c:v>
                </c:pt>
                <c:pt idx="22">
                  <c:v>-0.44388246628131017</c:v>
                </c:pt>
                <c:pt idx="23">
                  <c:v>-0.44388246628131017</c:v>
                </c:pt>
                <c:pt idx="24">
                  <c:v>-0.46638846737481032</c:v>
                </c:pt>
                <c:pt idx="25">
                  <c:v>-0.47015430937147162</c:v>
                </c:pt>
                <c:pt idx="26">
                  <c:v>-0.47015430937147162</c:v>
                </c:pt>
                <c:pt idx="27">
                  <c:v>-0.46670174383644009</c:v>
                </c:pt>
                <c:pt idx="28">
                  <c:v>-0.45621458254627878</c:v>
                </c:pt>
                <c:pt idx="29">
                  <c:v>-0.45621458254627878</c:v>
                </c:pt>
                <c:pt idx="30">
                  <c:v>-0.45621458254627878</c:v>
                </c:pt>
                <c:pt idx="31">
                  <c:v>-0.45621458254627878</c:v>
                </c:pt>
                <c:pt idx="32">
                  <c:v>-0.45621458254627878</c:v>
                </c:pt>
                <c:pt idx="33">
                  <c:v>-0.45185356099061691</c:v>
                </c:pt>
                <c:pt idx="34">
                  <c:v>-0.46953765269831449</c:v>
                </c:pt>
                <c:pt idx="35">
                  <c:v>-0.46953765269831449</c:v>
                </c:pt>
                <c:pt idx="36">
                  <c:v>-0.46953765269831449</c:v>
                </c:pt>
                <c:pt idx="37">
                  <c:v>-0.46953765269831449</c:v>
                </c:pt>
                <c:pt idx="38">
                  <c:v>-0.47514540519581228</c:v>
                </c:pt>
                <c:pt idx="39">
                  <c:v>-0.47185031185031179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E2A-4E58-8EE0-616C7E4080B4}"/>
            </c:ext>
          </c:extLst>
        </c:ser>
        <c:ser>
          <c:idx val="2"/>
          <c:order val="2"/>
          <c:tx>
            <c:strRef>
              <c:f>Records!$E$3</c:f>
              <c:strCache>
                <c:ptCount val="1"/>
                <c:pt idx="0">
                  <c:v>V</c:v>
                </c:pt>
              </c:strCache>
            </c:strRef>
          </c:tx>
          <c:spPr>
            <a:ln w="28575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val>
            <c:numRef>
              <c:f>Records!$E$4:$E$43</c:f>
              <c:numCache>
                <c:formatCode>General</c:formatCode>
                <c:ptCount val="40"/>
                <c:pt idx="0">
                  <c:v>-4.358469735515768E-2</c:v>
                </c:pt>
                <c:pt idx="1">
                  <c:v>-4.7808003494816932E-2</c:v>
                </c:pt>
                <c:pt idx="2">
                  <c:v>-0.28998335932531211</c:v>
                </c:pt>
                <c:pt idx="3">
                  <c:v>-0.29543917084944499</c:v>
                </c:pt>
                <c:pt idx="4">
                  <c:v>-0.274761827870176</c:v>
                </c:pt>
                <c:pt idx="5">
                  <c:v>1.6732453726273411E-2</c:v>
                </c:pt>
                <c:pt idx="6">
                  <c:v>1.8822077069725291E-2</c:v>
                </c:pt>
                <c:pt idx="7">
                  <c:v>1.8599833018955441E-2</c:v>
                </c:pt>
                <c:pt idx="8">
                  <c:v>2.03323046613463E-2</c:v>
                </c:pt>
                <c:pt idx="9">
                  <c:v>2.050978614187024E-2</c:v>
                </c:pt>
                <c:pt idx="10">
                  <c:v>2.263149441287372E-2</c:v>
                </c:pt>
                <c:pt idx="11">
                  <c:v>2.1440104801364851E-2</c:v>
                </c:pt>
                <c:pt idx="12">
                  <c:v>1.9733805491869639E-2</c:v>
                </c:pt>
                <c:pt idx="13">
                  <c:v>1.9180786065678749E-2</c:v>
                </c:pt>
                <c:pt idx="14">
                  <c:v>1.5876812677530269E-2</c:v>
                </c:pt>
                <c:pt idx="15">
                  <c:v>1.260069470105683E-2</c:v>
                </c:pt>
                <c:pt idx="16">
                  <c:v>9.6886574498514805E-3</c:v>
                </c:pt>
                <c:pt idx="17">
                  <c:v>1.149056782495282E-2</c:v>
                </c:pt>
                <c:pt idx="18">
                  <c:v>1.065503069663605E-2</c:v>
                </c:pt>
                <c:pt idx="19">
                  <c:v>8.0338662801179832E-3</c:v>
                </c:pt>
                <c:pt idx="20">
                  <c:v>-3.118018387956654E-3</c:v>
                </c:pt>
                <c:pt idx="21">
                  <c:v>-1.2234276251309611E-2</c:v>
                </c:pt>
                <c:pt idx="22">
                  <c:v>-2.3400013291686051E-2</c:v>
                </c:pt>
                <c:pt idx="23">
                  <c:v>-2.701131965816482E-2</c:v>
                </c:pt>
                <c:pt idx="24">
                  <c:v>-3.032945418783806E-2</c:v>
                </c:pt>
                <c:pt idx="25">
                  <c:v>-3.0519696761934612E-2</c:v>
                </c:pt>
                <c:pt idx="26">
                  <c:v>-3.9113964686998397E-2</c:v>
                </c:pt>
                <c:pt idx="27">
                  <c:v>-3.9526420928072473E-2</c:v>
                </c:pt>
                <c:pt idx="28">
                  <c:v>-3.976736974667603E-2</c:v>
                </c:pt>
                <c:pt idx="29">
                  <c:v>-3.976736974667603E-2</c:v>
                </c:pt>
                <c:pt idx="30">
                  <c:v>-4.4880890616893467E-2</c:v>
                </c:pt>
                <c:pt idx="31">
                  <c:v>-4.4880890616893467E-2</c:v>
                </c:pt>
                <c:pt idx="32">
                  <c:v>-4.3994753606895261E-2</c:v>
                </c:pt>
                <c:pt idx="33">
                  <c:v>-4.4572643462368132E-2</c:v>
                </c:pt>
                <c:pt idx="34">
                  <c:v>-4.3538821548404667E-2</c:v>
                </c:pt>
                <c:pt idx="35">
                  <c:v>-4.478760675077427E-2</c:v>
                </c:pt>
                <c:pt idx="36">
                  <c:v>-4.5400734710814412E-2</c:v>
                </c:pt>
                <c:pt idx="37">
                  <c:v>-4.5400734710814412E-2</c:v>
                </c:pt>
                <c:pt idx="38">
                  <c:v>-0.23656609195402301</c:v>
                </c:pt>
                <c:pt idx="39">
                  <c:v>-0.24188581743531659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E2A-4E58-8EE0-616C7E4080B4}"/>
            </c:ext>
          </c:extLst>
        </c:ser>
        <c:ser>
          <c:idx val="3"/>
          <c:order val="3"/>
          <c:tx>
            <c:strRef>
              <c:f>Records!$F$3</c:f>
              <c:strCache>
                <c:ptCount val="1"/>
                <c:pt idx="0">
                  <c:v>IO</c:v>
                </c:pt>
              </c:strCache>
            </c:strRef>
          </c:tx>
          <c:spPr>
            <a:ln w="28575" cap="rnd">
              <a:solidFill>
                <a:schemeClr val="accent4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olid"/>
              </a:ln>
            </c:spPr>
          </c:marker>
          <c:val>
            <c:numRef>
              <c:f>Records!$F$4:$F$43</c:f>
              <c:numCache>
                <c:formatCode>General</c:formatCode>
                <c:ptCount val="40"/>
                <c:pt idx="0">
                  <c:v>-0.58129445961934534</c:v>
                </c:pt>
                <c:pt idx="1">
                  <c:v>-0.57858830088469604</c:v>
                </c:pt>
                <c:pt idx="2">
                  <c:v>-2.7766152425208891E-2</c:v>
                </c:pt>
                <c:pt idx="3">
                  <c:v>-3.4114527341790303E-2</c:v>
                </c:pt>
                <c:pt idx="4">
                  <c:v>-2.8722383700118839E-2</c:v>
                </c:pt>
                <c:pt idx="5">
                  <c:v>-0.58923357926680187</c:v>
                </c:pt>
                <c:pt idx="6">
                  <c:v>-0.58961721938042411</c:v>
                </c:pt>
                <c:pt idx="7">
                  <c:v>-0.58888489467251415</c:v>
                </c:pt>
                <c:pt idx="8">
                  <c:v>-0.58878733710068043</c:v>
                </c:pt>
                <c:pt idx="9">
                  <c:v>-0.58878733710068043</c:v>
                </c:pt>
                <c:pt idx="10">
                  <c:v>-0.58661496771217714</c:v>
                </c:pt>
                <c:pt idx="11">
                  <c:v>-0.58577985623971596</c:v>
                </c:pt>
                <c:pt idx="12">
                  <c:v>-0.58577985623971596</c:v>
                </c:pt>
                <c:pt idx="13">
                  <c:v>-0.58696748354007289</c:v>
                </c:pt>
                <c:pt idx="14">
                  <c:v>-0.58625866050808317</c:v>
                </c:pt>
                <c:pt idx="15">
                  <c:v>-0.58708431790674886</c:v>
                </c:pt>
                <c:pt idx="16">
                  <c:v>-0.58748901977161128</c:v>
                </c:pt>
                <c:pt idx="17">
                  <c:v>-0.58730775876965613</c:v>
                </c:pt>
                <c:pt idx="18">
                  <c:v>-0.5845921450151057</c:v>
                </c:pt>
                <c:pt idx="19">
                  <c:v>-0.5845921450151057</c:v>
                </c:pt>
                <c:pt idx="20">
                  <c:v>-0.5856240420564095</c:v>
                </c:pt>
                <c:pt idx="21">
                  <c:v>-0.58480103433414743</c:v>
                </c:pt>
                <c:pt idx="22">
                  <c:v>-0.58480103433414743</c:v>
                </c:pt>
                <c:pt idx="23">
                  <c:v>-0.58480103433414743</c:v>
                </c:pt>
                <c:pt idx="24">
                  <c:v>-0.58756789035175017</c:v>
                </c:pt>
                <c:pt idx="25">
                  <c:v>-0.58809750280384443</c:v>
                </c:pt>
                <c:pt idx="26">
                  <c:v>-0.58809750280384443</c:v>
                </c:pt>
                <c:pt idx="27">
                  <c:v>-0.58741377842118714</c:v>
                </c:pt>
                <c:pt idx="28">
                  <c:v>-0.58556024378809191</c:v>
                </c:pt>
                <c:pt idx="29">
                  <c:v>-0.58556024378809191</c:v>
                </c:pt>
                <c:pt idx="30">
                  <c:v>-0.58556024378809191</c:v>
                </c:pt>
                <c:pt idx="31">
                  <c:v>-0.58556024378809191</c:v>
                </c:pt>
                <c:pt idx="32">
                  <c:v>-0.58556024378809191</c:v>
                </c:pt>
                <c:pt idx="33">
                  <c:v>-0.58518159530189862</c:v>
                </c:pt>
                <c:pt idx="34">
                  <c:v>-0.58857436365711679</c:v>
                </c:pt>
                <c:pt idx="35">
                  <c:v>-0.58857436365711679</c:v>
                </c:pt>
                <c:pt idx="36">
                  <c:v>-0.58857436365711679</c:v>
                </c:pt>
                <c:pt idx="37">
                  <c:v>-0.58857436365711679</c:v>
                </c:pt>
                <c:pt idx="38">
                  <c:v>-2.6224499992862142E-2</c:v>
                </c:pt>
                <c:pt idx="39">
                  <c:v>-2.0006071206580031E-2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E2A-4E58-8EE0-616C7E408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0286063"/>
        <c:axId val="415487120"/>
      </c:lineChart>
      <c:catAx>
        <c:axId val="10028606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487120"/>
        <c:crosses val="autoZero"/>
        <c:auto val="1"/>
        <c:lblAlgn val="ctr"/>
        <c:lblOffset val="100"/>
        <c:noMultiLvlLbl val="0"/>
      </c:catAx>
      <c:valAx>
        <c:axId val="415487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286063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381000</xdr:colOff>
      <xdr:row>0</xdr:row>
      <xdr:rowOff>259080</xdr:rowOff>
    </xdr:from>
    <xdr:to>
      <xdr:col>43</xdr:col>
      <xdr:colOff>243840</xdr:colOff>
      <xdr:row>28</xdr:row>
      <xdr:rowOff>15240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175260</xdr:colOff>
          <xdr:row>33</xdr:row>
          <xdr:rowOff>53340</xdr:rowOff>
        </xdr:from>
        <xdr:to>
          <xdr:col>3</xdr:col>
          <xdr:colOff>533400</xdr:colOff>
          <xdr:row>37</xdr:row>
          <xdr:rowOff>60960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411480</xdr:colOff>
          <xdr:row>35</xdr:row>
          <xdr:rowOff>30480</xdr:rowOff>
        </xdr:from>
        <xdr:to>
          <xdr:col>40</xdr:col>
          <xdr:colOff>30480</xdr:colOff>
          <xdr:row>38</xdr:row>
          <xdr:rowOff>91440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237067</xdr:colOff>
      <xdr:row>39</xdr:row>
      <xdr:rowOff>152400</xdr:rowOff>
    </xdr:from>
    <xdr:to>
      <xdr:col>21</xdr:col>
      <xdr:colOff>541867</xdr:colOff>
      <xdr:row>54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533400</xdr:colOff>
      <xdr:row>4</xdr:row>
      <xdr:rowOff>110066</xdr:rowOff>
    </xdr:from>
    <xdr:to>
      <xdr:col>22</xdr:col>
      <xdr:colOff>228600</xdr:colOff>
      <xdr:row>19</xdr:row>
      <xdr:rowOff>59266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592668</xdr:colOff>
      <xdr:row>23</xdr:row>
      <xdr:rowOff>59267</xdr:rowOff>
    </xdr:from>
    <xdr:to>
      <xdr:col>21</xdr:col>
      <xdr:colOff>287868</xdr:colOff>
      <xdr:row>38</xdr:row>
      <xdr:rowOff>8467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O85"/>
  <sheetViews>
    <sheetView showGridLines="0" tabSelected="1" topLeftCell="C1" zoomScale="50" zoomScaleNormal="50" workbookViewId="0">
      <selection activeCell="C47" sqref="C47"/>
    </sheetView>
  </sheetViews>
  <sheetFormatPr defaultRowHeight="14.4" x14ac:dyDescent="0.3"/>
  <cols>
    <col min="1" max="2" width="13" hidden="1" customWidth="1"/>
    <col min="5" max="5" width="15.44140625" bestFit="1" customWidth="1"/>
    <col min="7" max="7" width="12.77734375" customWidth="1"/>
    <col min="8" max="8" width="18" customWidth="1"/>
    <col min="9" max="9" width="11.21875" customWidth="1"/>
    <col min="10" max="10" width="12.33203125" customWidth="1"/>
    <col min="11" max="11" width="14.21875" customWidth="1"/>
    <col min="12" max="12" width="9.77734375" bestFit="1" customWidth="1"/>
    <col min="13" max="13" width="12" customWidth="1"/>
    <col min="14" max="14" width="11.109375" customWidth="1"/>
    <col min="16" max="16" width="16.5546875" customWidth="1"/>
    <col min="17" max="17" width="13.44140625" customWidth="1"/>
    <col min="18" max="18" width="16.5546875" bestFit="1" customWidth="1"/>
    <col min="19" max="19" width="12.5546875" customWidth="1"/>
    <col min="20" max="20" width="11.44140625" customWidth="1"/>
    <col min="21" max="21" width="10.33203125" customWidth="1"/>
    <col min="22" max="22" width="10" customWidth="1"/>
    <col min="24" max="24" width="10.21875" customWidth="1"/>
    <col min="25" max="25" width="9.21875" customWidth="1"/>
    <col min="26" max="26" width="7.5546875" customWidth="1"/>
    <col min="27" max="27" width="7.77734375" customWidth="1"/>
    <col min="28" max="28" width="7.109375" customWidth="1"/>
    <col min="30" max="30" width="7.21875" customWidth="1"/>
    <col min="31" max="31" width="6.6640625" customWidth="1"/>
    <col min="33" max="33" width="7.109375" customWidth="1"/>
    <col min="34" max="34" width="7.6640625" customWidth="1"/>
    <col min="35" max="35" width="12.109375" customWidth="1"/>
    <col min="38" max="38" width="10.77734375" customWidth="1"/>
    <col min="39" max="39" width="11.109375" customWidth="1"/>
  </cols>
  <sheetData>
    <row r="1" spans="1:25" ht="25.2" customHeight="1" x14ac:dyDescent="0.5">
      <c r="C1" s="87" t="s">
        <v>0</v>
      </c>
      <c r="D1" s="82"/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2"/>
      <c r="V1" s="88"/>
    </row>
    <row r="3" spans="1:25" ht="15.6" customHeight="1" x14ac:dyDescent="0.3">
      <c r="J3" t="s">
        <v>1</v>
      </c>
      <c r="K3" s="69">
        <f>Data!A4</f>
        <v>24576.35</v>
      </c>
      <c r="M3" t="str">
        <f>Data!A2</f>
        <v>Last Update @  14:21:02</v>
      </c>
      <c r="P3" s="68" t="s">
        <v>2</v>
      </c>
      <c r="Q3" s="69" t="str">
        <f>Data!A1</f>
        <v>28-Aug-25</v>
      </c>
    </row>
    <row r="5" spans="1:25" x14ac:dyDescent="0.3">
      <c r="C5" s="9"/>
      <c r="D5" s="83" t="s">
        <v>3</v>
      </c>
      <c r="E5" s="84"/>
      <c r="F5" s="84"/>
      <c r="G5" s="84"/>
      <c r="H5" s="84"/>
      <c r="I5" s="84"/>
      <c r="J5" s="84"/>
      <c r="K5" s="84"/>
      <c r="L5" s="85"/>
      <c r="M5" s="10"/>
      <c r="N5" s="86" t="s">
        <v>4</v>
      </c>
      <c r="O5" s="84"/>
      <c r="P5" s="84"/>
      <c r="Q5" s="84"/>
      <c r="R5" s="84"/>
      <c r="S5" s="84"/>
      <c r="T5" s="84"/>
      <c r="U5" s="84"/>
      <c r="V5" s="85"/>
      <c r="W5" s="9"/>
    </row>
    <row r="6" spans="1:25" ht="28.8" customHeight="1" x14ac:dyDescent="0.3">
      <c r="C6" s="11" t="s">
        <v>5</v>
      </c>
      <c r="D6" s="12" t="s">
        <v>6</v>
      </c>
      <c r="E6" s="12" t="s">
        <v>7</v>
      </c>
      <c r="F6" s="12" t="s">
        <v>8</v>
      </c>
      <c r="G6" s="12" t="s">
        <v>9</v>
      </c>
      <c r="H6" s="12" t="s">
        <v>10</v>
      </c>
      <c r="I6" s="12" t="s">
        <v>11</v>
      </c>
      <c r="J6" s="12" t="s">
        <v>12</v>
      </c>
      <c r="K6" s="12" t="s">
        <v>13</v>
      </c>
      <c r="L6" s="13" t="s">
        <v>14</v>
      </c>
      <c r="M6" s="12" t="s">
        <v>15</v>
      </c>
      <c r="N6" s="13" t="s">
        <v>16</v>
      </c>
      <c r="O6" s="12" t="s">
        <v>17</v>
      </c>
      <c r="P6" s="12" t="s">
        <v>18</v>
      </c>
      <c r="Q6" s="12" t="s">
        <v>19</v>
      </c>
      <c r="R6" s="12" t="s">
        <v>20</v>
      </c>
      <c r="S6" s="12" t="str">
        <f>G6</f>
        <v>price change</v>
      </c>
      <c r="T6" s="12" t="str">
        <f>F6</f>
        <v>OI change</v>
      </c>
      <c r="U6" s="14" t="str">
        <f>E6</f>
        <v>Interpretation</v>
      </c>
      <c r="V6" s="14" t="s">
        <v>6</v>
      </c>
      <c r="W6" s="11" t="s">
        <v>5</v>
      </c>
      <c r="X6" s="13" t="s">
        <v>21</v>
      </c>
      <c r="Y6" s="13" t="s">
        <v>22</v>
      </c>
    </row>
    <row r="7" spans="1:25" x14ac:dyDescent="0.3">
      <c r="A7" s="36" t="str">
        <f t="shared" ref="A7:A31" si="0">"CE"&amp;M7</f>
        <v>CE23600</v>
      </c>
      <c r="B7" s="36" t="str">
        <f t="shared" ref="B7:B31" si="1">"PE"&amp;M7</f>
        <v>PE23600</v>
      </c>
      <c r="C7" s="15" t="str">
        <f>VLOOKUP("CE_"&amp;E7,Strategy!$A$2:$H$11,7,0)</f>
        <v>Sell</v>
      </c>
      <c r="D7" s="16" t="str">
        <f t="shared" ref="D7:D31" si="2">IF(OR(E7="Long Liquidation",E7="Short Buildup"),"BEARISH","BULLISH")</f>
        <v>BEARISH</v>
      </c>
      <c r="E7" s="16" t="str">
        <f t="shared" ref="E7:E31" si="3">IF(AND(K7&lt;0,J7&lt;0),"Long Liquidation",IF(AND(K7&lt;0,J7&gt;0),"Short Buildup",IF(AND(K7&gt;0,J7&gt;0),"Long Buildup",IF(AND(K7&gt;0,J7&lt;0),"Short covering"))))</f>
        <v>Long Liquidation</v>
      </c>
      <c r="F7" s="16" t="str">
        <f t="shared" ref="F7:F31" si="4">IF(J7&gt;0,"UP","DOWN")</f>
        <v>DOWN</v>
      </c>
      <c r="G7" s="16" t="str">
        <f t="shared" ref="G7:G31" si="5">IF(K7&gt;0,"UP","DOWN")</f>
        <v>DOWN</v>
      </c>
      <c r="H7" s="17">
        <f>VLOOKUP(A7,Data!A$11:AZ$113,6,0)</f>
        <v>124</v>
      </c>
      <c r="I7" s="17">
        <f>VLOOKUP(A7,Data!A$11:AZ$113,4,0)</f>
        <v>63</v>
      </c>
      <c r="J7" s="18">
        <f>VLOOKUP(A7,Data!A$11:AZ$113,5,0)</f>
        <v>-25</v>
      </c>
      <c r="K7" s="18">
        <f>VLOOKUP(A7,Data!A$11:AZ$113,9,0)</f>
        <v>-168.6</v>
      </c>
      <c r="L7" s="19">
        <f>VLOOKUP(A7,Data!A$8:AZ$113,8,0)</f>
        <v>953.6</v>
      </c>
      <c r="M7" s="20">
        <f>M8</f>
        <v>23600</v>
      </c>
      <c r="N7" s="19">
        <f>VLOOKUP(B7,Data!B$8:BN$113,19,0)</f>
        <v>0.3</v>
      </c>
      <c r="O7" s="18">
        <f>VLOOKUP(B7,Data!B$11:BN$113,18,0)</f>
        <v>-0.7</v>
      </c>
      <c r="P7" s="18">
        <f>VLOOKUP(B7,Data!B$11:BN$113,22,0)</f>
        <v>18277</v>
      </c>
      <c r="Q7" s="17">
        <f>VLOOKUP(B7,Data!B$11:BN$113,23,0)</f>
        <v>27393</v>
      </c>
      <c r="R7" s="17">
        <f>VLOOKUP(B7,Data!B$11:BN$113,21,0)</f>
        <v>275839</v>
      </c>
      <c r="S7" s="16" t="str">
        <f t="shared" ref="S7:S31" si="6">IF(O7&gt;0,"UP","DOWN")</f>
        <v>DOWN</v>
      </c>
      <c r="T7" s="16" t="str">
        <f t="shared" ref="T7:T31" si="7">IF(P7&gt;0,"UP","DOWN")</f>
        <v>UP</v>
      </c>
      <c r="U7" s="16" t="str">
        <f t="shared" ref="U7:U31" si="8">IF(AND(O7&lt;0,P7&lt;0),"Long Liquidation",IF(AND(O7&lt;0,P7&gt;0),"Short Buildup",IF(AND(O7&gt;0,P7&gt;0),"Long Buildup",IF(AND(O7&gt;0,P7&lt;0),"Short covering"))))</f>
        <v>Short Buildup</v>
      </c>
      <c r="V7" s="16" t="str">
        <f t="shared" ref="V7:V31" si="9">IF(OR(U7="Long Liquidation",U7="Short Buildup"),"BULLISH","BEARISH")</f>
        <v>BULLISH</v>
      </c>
      <c r="W7" s="15" t="str">
        <f>VLOOKUP("PE_"&amp;U7,Strategy!$A$2:$H$11,8,0)</f>
        <v>Sell</v>
      </c>
      <c r="X7" s="19">
        <f t="shared" ref="X7:X31" si="10">IFERROR(Q7/I7,0)</f>
        <v>434.8095238095238</v>
      </c>
      <c r="Y7" s="19" t="str">
        <f t="shared" ref="Y7:Y32" si="11">IF(X7&gt;1,"Nifty will Increase","Nifty will Decrease")</f>
        <v>Nifty will Increase</v>
      </c>
    </row>
    <row r="8" spans="1:25" x14ac:dyDescent="0.3">
      <c r="A8" s="36" t="str">
        <f t="shared" si="0"/>
        <v>CE23600</v>
      </c>
      <c r="B8" s="36" t="str">
        <f t="shared" si="1"/>
        <v>PE23600</v>
      </c>
      <c r="C8" s="15" t="str">
        <f>VLOOKUP("CE_"&amp;E8,Strategy!$A$2:$H$11,7,0)</f>
        <v>Sell</v>
      </c>
      <c r="D8" s="21" t="str">
        <f t="shared" si="2"/>
        <v>BEARISH</v>
      </c>
      <c r="E8" s="21" t="str">
        <f t="shared" si="3"/>
        <v>Long Liquidation</v>
      </c>
      <c r="F8" s="21" t="str">
        <f t="shared" si="4"/>
        <v>DOWN</v>
      </c>
      <c r="G8" s="21" t="str">
        <f t="shared" si="5"/>
        <v>DOWN</v>
      </c>
      <c r="H8" s="22">
        <f>VLOOKUP(A8,Data!A$11:AZ$113,6,0)</f>
        <v>124</v>
      </c>
      <c r="I8" s="22">
        <f>VLOOKUP(A8,Data!A$11:AZ$113,4,0)</f>
        <v>63</v>
      </c>
      <c r="J8" s="23">
        <f>VLOOKUP(A8,Data!A$11:AZ$113,5,0)</f>
        <v>-25</v>
      </c>
      <c r="K8" s="23">
        <f>VLOOKUP(A8,Data!A$11:AZ$113,9,0)</f>
        <v>-168.6</v>
      </c>
      <c r="L8" s="24">
        <f>VLOOKUP(A8,Data!A$11:AZ$113,8,0)</f>
        <v>953.6</v>
      </c>
      <c r="M8" s="25">
        <f t="shared" ref="M8:M17" si="12">M9-100</f>
        <v>23600</v>
      </c>
      <c r="N8" s="24">
        <f>VLOOKUP(B8,Data!B$8:BN$113,19,0)</f>
        <v>0.3</v>
      </c>
      <c r="O8" s="23">
        <f>VLOOKUP(B8,Data!B$11:BN$113,18,0)</f>
        <v>-0.7</v>
      </c>
      <c r="P8" s="23">
        <f>VLOOKUP(B8,Data!B$11:BN$113,22,0)</f>
        <v>18277</v>
      </c>
      <c r="Q8" s="22">
        <f>VLOOKUP(B8,Data!B$11:BN$113,23,0)</f>
        <v>27393</v>
      </c>
      <c r="R8" s="22">
        <f>VLOOKUP(B8,Data!B$11:BN$113,21,0)</f>
        <v>275839</v>
      </c>
      <c r="S8" s="21" t="str">
        <f t="shared" si="6"/>
        <v>DOWN</v>
      </c>
      <c r="T8" s="21" t="str">
        <f t="shared" si="7"/>
        <v>UP</v>
      </c>
      <c r="U8" s="21" t="str">
        <f t="shared" si="8"/>
        <v>Short Buildup</v>
      </c>
      <c r="V8" s="21" t="str">
        <f t="shared" si="9"/>
        <v>BULLISH</v>
      </c>
      <c r="W8" s="15" t="str">
        <f>VLOOKUP("PE_"&amp;U8,Strategy!$A$2:$H$11,8,0)</f>
        <v>Sell</v>
      </c>
      <c r="X8" s="24">
        <f t="shared" si="10"/>
        <v>434.8095238095238</v>
      </c>
      <c r="Y8" s="24" t="str">
        <f t="shared" si="11"/>
        <v>Nifty will Increase</v>
      </c>
    </row>
    <row r="9" spans="1:25" x14ac:dyDescent="0.3">
      <c r="A9" s="36" t="str">
        <f t="shared" si="0"/>
        <v>CE23700</v>
      </c>
      <c r="B9" s="36" t="str">
        <f t="shared" si="1"/>
        <v>PE23700</v>
      </c>
      <c r="C9" s="15" t="str">
        <f>VLOOKUP("CE_"&amp;E9,Strategy!$A$2:$H$11,7,0)</f>
        <v>Sell</v>
      </c>
      <c r="D9" s="21" t="str">
        <f t="shared" si="2"/>
        <v>BEARISH</v>
      </c>
      <c r="E9" s="21" t="str">
        <f t="shared" si="3"/>
        <v>Long Liquidation</v>
      </c>
      <c r="F9" s="21" t="str">
        <f t="shared" si="4"/>
        <v>DOWN</v>
      </c>
      <c r="G9" s="21" t="str">
        <f t="shared" si="5"/>
        <v>DOWN</v>
      </c>
      <c r="H9" s="22">
        <f>VLOOKUP(A9,Data!A$11:AZ$113,6,0)</f>
        <v>71</v>
      </c>
      <c r="I9" s="22">
        <f>VLOOKUP(A9,Data!A$11:AZ$113,4,0)</f>
        <v>67</v>
      </c>
      <c r="J9" s="23">
        <f>VLOOKUP(A9,Data!A$11:AZ$113,5,0)</f>
        <v>-31</v>
      </c>
      <c r="K9" s="23">
        <f>VLOOKUP(A9,Data!A$11:AZ$113,9,0)</f>
        <v>-178.2</v>
      </c>
      <c r="L9" s="24">
        <f>VLOOKUP(A9,Data!A$11:AZ$113,8,0)</f>
        <v>852</v>
      </c>
      <c r="M9" s="25">
        <f t="shared" si="12"/>
        <v>23700</v>
      </c>
      <c r="N9" s="24">
        <f>VLOOKUP(B9,Data!B$11:BN$113,19,0)</f>
        <v>0.35</v>
      </c>
      <c r="O9" s="23">
        <f>VLOOKUP(B9,Data!B$11:BN$113,18,0)</f>
        <v>-0.7</v>
      </c>
      <c r="P9" s="23">
        <f>VLOOKUP(B9,Data!B$11:BN$113,22,0)</f>
        <v>15021</v>
      </c>
      <c r="Q9" s="22">
        <f>VLOOKUP(B9,Data!B$11:BN$113,23,0)</f>
        <v>36355</v>
      </c>
      <c r="R9" s="22">
        <f>VLOOKUP(B9,Data!B$11:BN$113,21,0)</f>
        <v>392084</v>
      </c>
      <c r="S9" s="21" t="str">
        <f t="shared" si="6"/>
        <v>DOWN</v>
      </c>
      <c r="T9" s="21" t="str">
        <f t="shared" si="7"/>
        <v>UP</v>
      </c>
      <c r="U9" s="21" t="str">
        <f t="shared" si="8"/>
        <v>Short Buildup</v>
      </c>
      <c r="V9" s="21" t="str">
        <f t="shared" si="9"/>
        <v>BULLISH</v>
      </c>
      <c r="W9" s="15" t="str">
        <f>VLOOKUP("PE_"&amp;U9,Strategy!$A$2:$H$11,8,0)</f>
        <v>Sell</v>
      </c>
      <c r="X9" s="24">
        <f t="shared" si="10"/>
        <v>542.61194029850742</v>
      </c>
      <c r="Y9" s="24" t="str">
        <f t="shared" si="11"/>
        <v>Nifty will Increase</v>
      </c>
    </row>
    <row r="10" spans="1:25" x14ac:dyDescent="0.3">
      <c r="A10" s="36" t="str">
        <f t="shared" si="0"/>
        <v>CE23800</v>
      </c>
      <c r="B10" s="36" t="str">
        <f t="shared" si="1"/>
        <v>PE23800</v>
      </c>
      <c r="C10" s="15" t="str">
        <f>VLOOKUP("CE_"&amp;E10,Strategy!$A$2:$H$11,7,0)</f>
        <v>Sell</v>
      </c>
      <c r="D10" s="21" t="str">
        <f t="shared" si="2"/>
        <v>BEARISH</v>
      </c>
      <c r="E10" s="21" t="str">
        <f t="shared" si="3"/>
        <v>Long Liquidation</v>
      </c>
      <c r="F10" s="21" t="str">
        <f t="shared" si="4"/>
        <v>DOWN</v>
      </c>
      <c r="G10" s="21" t="str">
        <f t="shared" si="5"/>
        <v>DOWN</v>
      </c>
      <c r="H10" s="22">
        <f>VLOOKUP(A10,Data!A$11:AZ$113,6,0)</f>
        <v>177</v>
      </c>
      <c r="I10" s="22">
        <f>VLOOKUP(A10,Data!A$11:AZ$113,4,0)</f>
        <v>119</v>
      </c>
      <c r="J10" s="23">
        <f>VLOOKUP(A10,Data!A$11:AZ$113,5,0)</f>
        <v>-42</v>
      </c>
      <c r="K10" s="23">
        <f>VLOOKUP(A10,Data!A$11:AZ$113,9,0)</f>
        <v>-165.8</v>
      </c>
      <c r="L10" s="24">
        <f>VLOOKUP(A10,Data!A$11:AZ$113,8,0)</f>
        <v>776.9</v>
      </c>
      <c r="M10" s="25">
        <f t="shared" si="12"/>
        <v>23800</v>
      </c>
      <c r="N10" s="24">
        <f>VLOOKUP(B10,Data!B$11:BN$113,19,0)</f>
        <v>0.4</v>
      </c>
      <c r="O10" s="23">
        <f>VLOOKUP(B10,Data!B$11:BN$113,18,0)</f>
        <v>-0.95</v>
      </c>
      <c r="P10" s="23">
        <f>VLOOKUP(B10,Data!B$11:BN$113,22,0)</f>
        <v>31461</v>
      </c>
      <c r="Q10" s="22">
        <f>VLOOKUP(B10,Data!B$11:BN$113,23,0)</f>
        <v>84235</v>
      </c>
      <c r="R10" s="22">
        <f>VLOOKUP(B10,Data!B$11:BN$113,21,0)</f>
        <v>707235</v>
      </c>
      <c r="S10" s="21" t="str">
        <f t="shared" si="6"/>
        <v>DOWN</v>
      </c>
      <c r="T10" s="21" t="str">
        <f t="shared" si="7"/>
        <v>UP</v>
      </c>
      <c r="U10" s="21" t="str">
        <f t="shared" si="8"/>
        <v>Short Buildup</v>
      </c>
      <c r="V10" s="21" t="str">
        <f t="shared" si="9"/>
        <v>BULLISH</v>
      </c>
      <c r="W10" s="15" t="str">
        <f>VLOOKUP("PE_"&amp;U10,Strategy!$A$2:$H$11,8,0)</f>
        <v>Sell</v>
      </c>
      <c r="X10" s="24">
        <f t="shared" si="10"/>
        <v>707.85714285714289</v>
      </c>
      <c r="Y10" s="24" t="str">
        <f t="shared" si="11"/>
        <v>Nifty will Increase</v>
      </c>
    </row>
    <row r="11" spans="1:25" x14ac:dyDescent="0.3">
      <c r="A11" s="36" t="str">
        <f t="shared" si="0"/>
        <v>CE23900</v>
      </c>
      <c r="B11" s="36" t="str">
        <f t="shared" si="1"/>
        <v>PE23900</v>
      </c>
      <c r="C11" s="15" t="str">
        <f>VLOOKUP("CE_"&amp;E11,Strategy!$A$2:$H$11,7,0)</f>
        <v>Sell</v>
      </c>
      <c r="D11" s="21" t="str">
        <f t="shared" si="2"/>
        <v>BEARISH</v>
      </c>
      <c r="E11" s="21" t="str">
        <f t="shared" si="3"/>
        <v>Long Liquidation</v>
      </c>
      <c r="F11" s="21" t="str">
        <f t="shared" si="4"/>
        <v>DOWN</v>
      </c>
      <c r="G11" s="21" t="str">
        <f t="shared" si="5"/>
        <v>DOWN</v>
      </c>
      <c r="H11" s="22">
        <f>VLOOKUP(A11,Data!A$11:AZ$113,6,0)</f>
        <v>109</v>
      </c>
      <c r="I11" s="22">
        <f>VLOOKUP(A11,Data!A$11:AZ$113,4,0)</f>
        <v>118</v>
      </c>
      <c r="J11" s="23">
        <f>VLOOKUP(A11,Data!A$11:AZ$113,5,0)</f>
        <v>-26</v>
      </c>
      <c r="K11" s="23">
        <f>VLOOKUP(A11,Data!A$11:AZ$113,9,0)</f>
        <v>-183.39999999999901</v>
      </c>
      <c r="L11" s="24">
        <f>VLOOKUP(A11,Data!A$11:AZ$113,8,0)</f>
        <v>644</v>
      </c>
      <c r="M11" s="25">
        <f t="shared" si="12"/>
        <v>23900</v>
      </c>
      <c r="N11" s="24">
        <f>VLOOKUP(B11,Data!B$11:BN$113,19,0)</f>
        <v>0.45</v>
      </c>
      <c r="O11" s="23">
        <f>VLOOKUP(B11,Data!B$11:BN$113,18,0)</f>
        <v>-1.1000000000000001</v>
      </c>
      <c r="P11" s="23">
        <f>VLOOKUP(B11,Data!B$11:BN$113,22,0)</f>
        <v>31383</v>
      </c>
      <c r="Q11" s="22">
        <f>VLOOKUP(B11,Data!B$11:BN$113,23,0)</f>
        <v>61889</v>
      </c>
      <c r="R11" s="22">
        <f>VLOOKUP(B11,Data!B$11:BN$113,21,0)</f>
        <v>570261</v>
      </c>
      <c r="S11" s="21" t="str">
        <f t="shared" si="6"/>
        <v>DOWN</v>
      </c>
      <c r="T11" s="21" t="str">
        <f t="shared" si="7"/>
        <v>UP</v>
      </c>
      <c r="U11" s="21" t="str">
        <f t="shared" si="8"/>
        <v>Short Buildup</v>
      </c>
      <c r="V11" s="21" t="str">
        <f t="shared" si="9"/>
        <v>BULLISH</v>
      </c>
      <c r="W11" s="15" t="str">
        <f>VLOOKUP("PE_"&amp;U11,Strategy!$A$2:$H$11,8,0)</f>
        <v>Sell</v>
      </c>
      <c r="X11" s="24">
        <f t="shared" si="10"/>
        <v>524.48305084745766</v>
      </c>
      <c r="Y11" s="24" t="str">
        <f t="shared" si="11"/>
        <v>Nifty will Increase</v>
      </c>
    </row>
    <row r="12" spans="1:25" x14ac:dyDescent="0.3">
      <c r="A12" s="36" t="str">
        <f t="shared" si="0"/>
        <v>CE24000</v>
      </c>
      <c r="B12" s="36" t="str">
        <f t="shared" si="1"/>
        <v>PE24000</v>
      </c>
      <c r="C12" s="15" t="str">
        <f>VLOOKUP("CE_"&amp;E12,Strategy!$A$2:$H$11,7,0)</f>
        <v>Sell</v>
      </c>
      <c r="D12" s="21" t="str">
        <f t="shared" si="2"/>
        <v>BEARISH</v>
      </c>
      <c r="E12" s="21" t="str">
        <f t="shared" si="3"/>
        <v>Long Liquidation</v>
      </c>
      <c r="F12" s="21" t="str">
        <f t="shared" si="4"/>
        <v>DOWN</v>
      </c>
      <c r="G12" s="21" t="str">
        <f t="shared" si="5"/>
        <v>DOWN</v>
      </c>
      <c r="H12" s="22">
        <f>VLOOKUP(A12,Data!A$11:AZ$113,6,0)</f>
        <v>10216</v>
      </c>
      <c r="I12" s="22">
        <f>VLOOKUP(A12,Data!A$11:AZ$113,4,0)</f>
        <v>4090</v>
      </c>
      <c r="J12" s="23">
        <f>VLOOKUP(A12,Data!A$11:AZ$113,5,0)</f>
        <v>-672</v>
      </c>
      <c r="K12" s="23">
        <f>VLOOKUP(A12,Data!A$11:AZ$113,9,0)</f>
        <v>-156</v>
      </c>
      <c r="L12" s="24">
        <f>VLOOKUP(A12,Data!A$11:AZ$113,8,0)</f>
        <v>584</v>
      </c>
      <c r="M12" s="25">
        <f t="shared" si="12"/>
        <v>24000</v>
      </c>
      <c r="N12" s="24">
        <f>VLOOKUP(B12,Data!B$11:BN$113,19,0)</f>
        <v>0.4</v>
      </c>
      <c r="O12" s="23">
        <f>VLOOKUP(B12,Data!B$11:BN$113,18,0)</f>
        <v>-1.65</v>
      </c>
      <c r="P12" s="23">
        <f>VLOOKUP(B12,Data!B$11:BN$113,22,0)</f>
        <v>44154</v>
      </c>
      <c r="Q12" s="22">
        <f>VLOOKUP(B12,Data!B$11:BN$113,23,0)</f>
        <v>170370</v>
      </c>
      <c r="R12" s="22">
        <f>VLOOKUP(B12,Data!B$11:BN$113,21,0)</f>
        <v>1466902</v>
      </c>
      <c r="S12" s="21" t="str">
        <f t="shared" si="6"/>
        <v>DOWN</v>
      </c>
      <c r="T12" s="21" t="str">
        <f t="shared" si="7"/>
        <v>UP</v>
      </c>
      <c r="U12" s="21" t="str">
        <f t="shared" si="8"/>
        <v>Short Buildup</v>
      </c>
      <c r="V12" s="21" t="str">
        <f t="shared" si="9"/>
        <v>BULLISH</v>
      </c>
      <c r="W12" s="15" t="str">
        <f>VLOOKUP("PE_"&amp;U12,Strategy!$A$2:$H$11,8,0)</f>
        <v>Sell</v>
      </c>
      <c r="X12" s="24">
        <f t="shared" si="10"/>
        <v>41.655256723716384</v>
      </c>
      <c r="Y12" s="24" t="str">
        <f t="shared" si="11"/>
        <v>Nifty will Increase</v>
      </c>
    </row>
    <row r="13" spans="1:25" x14ac:dyDescent="0.3">
      <c r="A13" s="36" t="str">
        <f t="shared" si="0"/>
        <v>CE24100</v>
      </c>
      <c r="B13" s="36" t="str">
        <f t="shared" si="1"/>
        <v>PE24100</v>
      </c>
      <c r="C13" s="15" t="str">
        <f>VLOOKUP("CE_"&amp;E13,Strategy!$A$2:$H$11,7,0)</f>
        <v>Sell</v>
      </c>
      <c r="D13" s="21" t="str">
        <f t="shared" si="2"/>
        <v>BEARISH</v>
      </c>
      <c r="E13" s="21" t="str">
        <f t="shared" si="3"/>
        <v>Short Buildup</v>
      </c>
      <c r="F13" s="21" t="str">
        <f t="shared" si="4"/>
        <v>UP</v>
      </c>
      <c r="G13" s="21" t="str">
        <f t="shared" si="5"/>
        <v>DOWN</v>
      </c>
      <c r="H13" s="22">
        <f>VLOOKUP(A13,Data!A$11:AZ$113,6,0)</f>
        <v>2618</v>
      </c>
      <c r="I13" s="22">
        <f>VLOOKUP(A13,Data!A$11:AZ$113,4,0)</f>
        <v>423</v>
      </c>
      <c r="J13" s="23">
        <f>VLOOKUP(A13,Data!A$11:AZ$113,5,0)</f>
        <v>71</v>
      </c>
      <c r="K13" s="23">
        <f>VLOOKUP(A13,Data!A$11:AZ$113,9,0)</f>
        <v>-158.849999999999</v>
      </c>
      <c r="L13" s="24">
        <f>VLOOKUP(A13,Data!A$11:AZ$113,8,0)</f>
        <v>484.55</v>
      </c>
      <c r="M13" s="25">
        <f t="shared" si="12"/>
        <v>24100</v>
      </c>
      <c r="N13" s="24">
        <f>VLOOKUP(B13,Data!B$11:BN$113,19,0)</f>
        <v>0.45</v>
      </c>
      <c r="O13" s="23">
        <f>VLOOKUP(B13,Data!B$11:BN$113,18,0)</f>
        <v>-1.9</v>
      </c>
      <c r="P13" s="23">
        <f>VLOOKUP(B13,Data!B$11:BN$113,22,0)</f>
        <v>45826</v>
      </c>
      <c r="Q13" s="22">
        <f>VLOOKUP(B13,Data!B$11:BN$113,23,0)</f>
        <v>81086</v>
      </c>
      <c r="R13" s="22">
        <f>VLOOKUP(B13,Data!B$11:BN$113,21,0)</f>
        <v>1290355</v>
      </c>
      <c r="S13" s="21" t="str">
        <f t="shared" si="6"/>
        <v>DOWN</v>
      </c>
      <c r="T13" s="21" t="str">
        <f t="shared" si="7"/>
        <v>UP</v>
      </c>
      <c r="U13" s="21" t="str">
        <f t="shared" si="8"/>
        <v>Short Buildup</v>
      </c>
      <c r="V13" s="21" t="str">
        <f t="shared" si="9"/>
        <v>BULLISH</v>
      </c>
      <c r="W13" s="15" t="str">
        <f>VLOOKUP("PE_"&amp;U13,Strategy!$A$2:$H$11,8,0)</f>
        <v>Sell</v>
      </c>
      <c r="X13" s="24">
        <f t="shared" si="10"/>
        <v>191.69267139479905</v>
      </c>
      <c r="Y13" s="24" t="str">
        <f t="shared" si="11"/>
        <v>Nifty will Increase</v>
      </c>
    </row>
    <row r="14" spans="1:25" x14ac:dyDescent="0.3">
      <c r="A14" s="36" t="str">
        <f t="shared" si="0"/>
        <v>CE24200</v>
      </c>
      <c r="B14" s="36" t="str">
        <f t="shared" si="1"/>
        <v>PE24200</v>
      </c>
      <c r="C14" s="15" t="str">
        <f>VLOOKUP("CE_"&amp;E14,Strategy!$A$2:$H$11,7,0)</f>
        <v>Sell</v>
      </c>
      <c r="D14" s="21" t="str">
        <f t="shared" si="2"/>
        <v>BEARISH</v>
      </c>
      <c r="E14" s="21" t="str">
        <f t="shared" si="3"/>
        <v>Short Buildup</v>
      </c>
      <c r="F14" s="21" t="str">
        <f t="shared" si="4"/>
        <v>UP</v>
      </c>
      <c r="G14" s="21" t="str">
        <f t="shared" si="5"/>
        <v>DOWN</v>
      </c>
      <c r="H14" s="22">
        <f>VLOOKUP(A14,Data!A$11:AZ$113,6,0)</f>
        <v>10764</v>
      </c>
      <c r="I14" s="22">
        <f>VLOOKUP(A14,Data!A$11:AZ$113,4,0)</f>
        <v>1733</v>
      </c>
      <c r="J14" s="23">
        <f>VLOOKUP(A14,Data!A$11:AZ$113,5,0)</f>
        <v>6</v>
      </c>
      <c r="K14" s="23">
        <f>VLOOKUP(A14,Data!A$11:AZ$113,9,0)</f>
        <v>-151.54999999999899</v>
      </c>
      <c r="L14" s="24">
        <f>VLOOKUP(A14,Data!A$11:AZ$113,8,0)</f>
        <v>382.35</v>
      </c>
      <c r="M14" s="25">
        <f t="shared" si="12"/>
        <v>24200</v>
      </c>
      <c r="N14" s="24">
        <f>VLOOKUP(B14,Data!B$11:BN$113,19,0)</f>
        <v>0.4</v>
      </c>
      <c r="O14" s="23">
        <f>VLOOKUP(B14,Data!B$11:BN$113,18,0)</f>
        <v>-2.85</v>
      </c>
      <c r="P14" s="23">
        <f>VLOOKUP(B14,Data!B$11:BN$113,22,0)</f>
        <v>53952</v>
      </c>
      <c r="Q14" s="22">
        <f>VLOOKUP(B14,Data!B$11:BN$113,23,0)</f>
        <v>109831</v>
      </c>
      <c r="R14" s="22">
        <f>VLOOKUP(B14,Data!B$11:BN$113,21,0)</f>
        <v>1602165</v>
      </c>
      <c r="S14" s="21" t="str">
        <f t="shared" si="6"/>
        <v>DOWN</v>
      </c>
      <c r="T14" s="21" t="str">
        <f t="shared" si="7"/>
        <v>UP</v>
      </c>
      <c r="U14" s="21" t="str">
        <f t="shared" si="8"/>
        <v>Short Buildup</v>
      </c>
      <c r="V14" s="21" t="str">
        <f t="shared" si="9"/>
        <v>BULLISH</v>
      </c>
      <c r="W14" s="15" t="str">
        <f>VLOOKUP("PE_"&amp;U14,Strategy!$A$2:$H$11,8,0)</f>
        <v>Sell</v>
      </c>
      <c r="X14" s="24">
        <f t="shared" si="10"/>
        <v>63.376226197345645</v>
      </c>
      <c r="Y14" s="24" t="str">
        <f t="shared" si="11"/>
        <v>Nifty will Increase</v>
      </c>
    </row>
    <row r="15" spans="1:25" x14ac:dyDescent="0.3">
      <c r="A15" s="36" t="str">
        <f t="shared" si="0"/>
        <v>CE24300</v>
      </c>
      <c r="B15" s="36" t="str">
        <f t="shared" si="1"/>
        <v>PE24300</v>
      </c>
      <c r="C15" s="15" t="str">
        <f>VLOOKUP("CE_"&amp;E15,Strategy!$A$2:$H$11,7,0)</f>
        <v>Sell</v>
      </c>
      <c r="D15" s="21" t="str">
        <f t="shared" si="2"/>
        <v>BEARISH</v>
      </c>
      <c r="E15" s="21" t="str">
        <f t="shared" si="3"/>
        <v>Short Buildup</v>
      </c>
      <c r="F15" s="21" t="str">
        <f t="shared" si="4"/>
        <v>UP</v>
      </c>
      <c r="G15" s="21" t="str">
        <f t="shared" si="5"/>
        <v>DOWN</v>
      </c>
      <c r="H15" s="22">
        <f>VLOOKUP(A15,Data!A$11:AZ$113,6,0)</f>
        <v>86432</v>
      </c>
      <c r="I15" s="22">
        <f>VLOOKUP(A15,Data!A$11:AZ$113,4,0)</f>
        <v>3771</v>
      </c>
      <c r="J15" s="23">
        <f>VLOOKUP(A15,Data!A$11:AZ$113,5,0)</f>
        <v>2456</v>
      </c>
      <c r="K15" s="23">
        <f>VLOOKUP(A15,Data!A$11:AZ$113,9,0)</f>
        <v>-153.69999999999999</v>
      </c>
      <c r="L15" s="24">
        <f>VLOOKUP(A15,Data!A$11:AZ$113,8,0)</f>
        <v>282.7</v>
      </c>
      <c r="M15" s="25">
        <f t="shared" si="12"/>
        <v>24300</v>
      </c>
      <c r="N15" s="24">
        <f>VLOOKUP(B15,Data!B$11:BN$113,19,0)</f>
        <v>0.45</v>
      </c>
      <c r="O15" s="23">
        <f>VLOOKUP(B15,Data!B$11:BN$113,18,0)</f>
        <v>-3.8999999999999901</v>
      </c>
      <c r="P15" s="23">
        <f>VLOOKUP(B15,Data!B$11:BN$113,22,0)</f>
        <v>45899</v>
      </c>
      <c r="Q15" s="22">
        <f>VLOOKUP(B15,Data!B$11:BN$113,23,0)</f>
        <v>92632</v>
      </c>
      <c r="R15" s="22">
        <f>VLOOKUP(B15,Data!B$11:BN$113,21,0)</f>
        <v>2246219</v>
      </c>
      <c r="S15" s="21" t="str">
        <f t="shared" si="6"/>
        <v>DOWN</v>
      </c>
      <c r="T15" s="21" t="str">
        <f t="shared" si="7"/>
        <v>UP</v>
      </c>
      <c r="U15" s="21" t="str">
        <f t="shared" si="8"/>
        <v>Short Buildup</v>
      </c>
      <c r="V15" s="21" t="str">
        <f t="shared" si="9"/>
        <v>BULLISH</v>
      </c>
      <c r="W15" s="15" t="str">
        <f>VLOOKUP("PE_"&amp;U15,Strategy!$A$2:$H$11,8,0)</f>
        <v>Sell</v>
      </c>
      <c r="X15" s="24">
        <f t="shared" si="10"/>
        <v>24.564306549986743</v>
      </c>
      <c r="Y15" s="24" t="str">
        <f t="shared" si="11"/>
        <v>Nifty will Increase</v>
      </c>
    </row>
    <row r="16" spans="1:25" x14ac:dyDescent="0.3">
      <c r="A16" s="36" t="str">
        <f t="shared" si="0"/>
        <v>CE24400</v>
      </c>
      <c r="B16" s="36" t="str">
        <f t="shared" si="1"/>
        <v>PE24400</v>
      </c>
      <c r="C16" s="15" t="str">
        <f>VLOOKUP("CE_"&amp;E16,Strategy!$A$2:$H$11,7,0)</f>
        <v>Sell</v>
      </c>
      <c r="D16" s="21" t="str">
        <f t="shared" si="2"/>
        <v>BEARISH</v>
      </c>
      <c r="E16" s="21" t="str">
        <f t="shared" si="3"/>
        <v>Short Buildup</v>
      </c>
      <c r="F16" s="21" t="str">
        <f t="shared" si="4"/>
        <v>UP</v>
      </c>
      <c r="G16" s="21" t="str">
        <f t="shared" si="5"/>
        <v>DOWN</v>
      </c>
      <c r="H16" s="22">
        <f>VLOOKUP(A16,Data!A$11:AZ$113,6,0)</f>
        <v>507365</v>
      </c>
      <c r="I16" s="22">
        <f>VLOOKUP(A16,Data!A$11:AZ$113,4,0)</f>
        <v>17084</v>
      </c>
      <c r="J16" s="23">
        <f>VLOOKUP(A16,Data!A$11:AZ$113,5,0)</f>
        <v>14512</v>
      </c>
      <c r="K16" s="23">
        <f>VLOOKUP(A16,Data!A$11:AZ$113,9,0)</f>
        <v>-155.29999999999899</v>
      </c>
      <c r="L16" s="24">
        <f>VLOOKUP(A16,Data!A$11:AZ$113,8,0)</f>
        <v>183.1</v>
      </c>
      <c r="M16" s="25">
        <f t="shared" si="12"/>
        <v>24400</v>
      </c>
      <c r="N16" s="24">
        <f>VLOOKUP(B16,Data!B$11:BN$113,19,0)</f>
        <v>0.75</v>
      </c>
      <c r="O16" s="23">
        <f>VLOOKUP(B16,Data!B$11:BN$113,18,0)</f>
        <v>-6.4</v>
      </c>
      <c r="P16" s="23">
        <f>VLOOKUP(B16,Data!B$11:BN$113,22,0)</f>
        <v>76636</v>
      </c>
      <c r="Q16" s="22">
        <f>VLOOKUP(B16,Data!B$11:BN$113,23,0)</f>
        <v>122289</v>
      </c>
      <c r="R16" s="22">
        <f>VLOOKUP(B16,Data!B$11:BN$113,21,0)</f>
        <v>4987460</v>
      </c>
      <c r="S16" s="21" t="str">
        <f t="shared" si="6"/>
        <v>DOWN</v>
      </c>
      <c r="T16" s="21" t="str">
        <f t="shared" si="7"/>
        <v>UP</v>
      </c>
      <c r="U16" s="21" t="str">
        <f t="shared" si="8"/>
        <v>Short Buildup</v>
      </c>
      <c r="V16" s="21" t="str">
        <f t="shared" si="9"/>
        <v>BULLISH</v>
      </c>
      <c r="W16" s="15" t="str">
        <f>VLOOKUP("PE_"&amp;U16,Strategy!$A$2:$H$11,8,0)</f>
        <v>Sell</v>
      </c>
      <c r="X16" s="24">
        <f t="shared" si="10"/>
        <v>7.1581011472723013</v>
      </c>
      <c r="Y16" s="24" t="str">
        <f t="shared" si="11"/>
        <v>Nifty will Increase</v>
      </c>
    </row>
    <row r="17" spans="1:41" x14ac:dyDescent="0.3">
      <c r="A17" s="36" t="str">
        <f t="shared" si="0"/>
        <v>CE24500</v>
      </c>
      <c r="B17" s="36" t="str">
        <f t="shared" si="1"/>
        <v>PE24500</v>
      </c>
      <c r="C17" s="15" t="str">
        <f>VLOOKUP("CE_"&amp;E17,Strategy!$A$2:$H$11,7,0)</f>
        <v>Sell</v>
      </c>
      <c r="D17" s="21" t="str">
        <f t="shared" si="2"/>
        <v>BEARISH</v>
      </c>
      <c r="E17" s="21" t="str">
        <f t="shared" si="3"/>
        <v>Short Buildup</v>
      </c>
      <c r="F17" s="21" t="str">
        <f t="shared" si="4"/>
        <v>UP</v>
      </c>
      <c r="G17" s="21" t="str">
        <f t="shared" si="5"/>
        <v>DOWN</v>
      </c>
      <c r="H17" s="22">
        <f>VLOOKUP(A17,Data!A$11:AZ$113,6,0)</f>
        <v>4328142</v>
      </c>
      <c r="I17" s="22">
        <f>VLOOKUP(A17,Data!A$11:AZ$113,4,0)</f>
        <v>107819</v>
      </c>
      <c r="J17" s="23">
        <f>VLOOKUP(A17,Data!A$11:AZ$113,5,0)</f>
        <v>93099</v>
      </c>
      <c r="K17" s="23">
        <f>VLOOKUP(A17,Data!A$11:AZ$113,9,0)</f>
        <v>-158.80000000000001</v>
      </c>
      <c r="L17" s="24">
        <f>VLOOKUP(A17,Data!A$11:AZ$113,8,0)</f>
        <v>86.2</v>
      </c>
      <c r="M17" s="25">
        <f t="shared" si="12"/>
        <v>24500</v>
      </c>
      <c r="N17" s="24">
        <f>VLOOKUP(B17,Data!B$11:BN$113,19,0)</f>
        <v>3.6</v>
      </c>
      <c r="O17" s="23">
        <f>VLOOKUP(B17,Data!B$11:BN$113,18,0)</f>
        <v>-9.65</v>
      </c>
      <c r="P17" s="23">
        <f>VLOOKUP(B17,Data!B$11:BN$113,22,0)</f>
        <v>339832</v>
      </c>
      <c r="Q17" s="22">
        <f>VLOOKUP(B17,Data!B$11:BN$113,23,0)</f>
        <v>444352</v>
      </c>
      <c r="R17" s="22">
        <f>VLOOKUP(B17,Data!B$11:BN$113,21,0)</f>
        <v>16230574</v>
      </c>
      <c r="S17" s="21" t="str">
        <f t="shared" si="6"/>
        <v>DOWN</v>
      </c>
      <c r="T17" s="21" t="str">
        <f t="shared" si="7"/>
        <v>UP</v>
      </c>
      <c r="U17" s="21" t="str">
        <f t="shared" si="8"/>
        <v>Short Buildup</v>
      </c>
      <c r="V17" s="21" t="str">
        <f t="shared" si="9"/>
        <v>BULLISH</v>
      </c>
      <c r="W17" s="15" t="str">
        <f>VLOOKUP("PE_"&amp;U17,Strategy!$A$2:$H$11,8,0)</f>
        <v>Sell</v>
      </c>
      <c r="X17" s="24">
        <f t="shared" si="10"/>
        <v>4.1212773258887578</v>
      </c>
      <c r="Y17" s="24" t="str">
        <f t="shared" si="11"/>
        <v>Nifty will Increase</v>
      </c>
    </row>
    <row r="18" spans="1:41" x14ac:dyDescent="0.3">
      <c r="A18" s="36" t="str">
        <f t="shared" si="0"/>
        <v>CE24600</v>
      </c>
      <c r="B18" s="36" t="str">
        <f t="shared" si="1"/>
        <v>PE24600</v>
      </c>
      <c r="C18" s="15" t="str">
        <f>VLOOKUP("CE_"&amp;E18,Strategy!$A$2:$H$11,7,0)</f>
        <v>Sell</v>
      </c>
      <c r="D18" s="21" t="str">
        <f t="shared" si="2"/>
        <v>BEARISH</v>
      </c>
      <c r="E18" s="21" t="str">
        <f t="shared" si="3"/>
        <v>Short Buildup</v>
      </c>
      <c r="F18" s="21" t="str">
        <f t="shared" si="4"/>
        <v>UP</v>
      </c>
      <c r="G18" s="21" t="str">
        <f t="shared" si="5"/>
        <v>DOWN</v>
      </c>
      <c r="H18" s="22">
        <f>VLOOKUP(A18,Data!A$11:AZ$113,6,0)</f>
        <v>15422762</v>
      </c>
      <c r="I18" s="22">
        <f>VLOOKUP(A18,Data!A$11:AZ$113,4,0)</f>
        <v>479929</v>
      </c>
      <c r="J18" s="23">
        <f>VLOOKUP(A18,Data!A$11:AZ$113,5,0)</f>
        <v>462111</v>
      </c>
      <c r="K18" s="23">
        <f>VLOOKUP(A18,Data!A$11:AZ$113,9,0)</f>
        <v>-141.75</v>
      </c>
      <c r="L18" s="24">
        <f>VLOOKUP(A18,Data!A$11:AZ$113,8,0)</f>
        <v>15.45</v>
      </c>
      <c r="M18" s="26">
        <f>Data!A5</f>
        <v>24600</v>
      </c>
      <c r="N18" s="24">
        <f>VLOOKUP(B18,Data!B$11:BN$113,19,0)</f>
        <v>32.9</v>
      </c>
      <c r="O18" s="23">
        <f>VLOOKUP(B18,Data!B$11:BN$113,18,0)</f>
        <v>8.3999999999999897</v>
      </c>
      <c r="P18" s="23">
        <f>VLOOKUP(B18,Data!B$11:BN$113,22,0)</f>
        <v>98891</v>
      </c>
      <c r="Q18" s="22">
        <f>VLOOKUP(B18,Data!B$11:BN$113,23,0)</f>
        <v>188875</v>
      </c>
      <c r="R18" s="22">
        <f>VLOOKUP(B18,Data!B$11:BN$113,21,0)</f>
        <v>14530250</v>
      </c>
      <c r="S18" s="21" t="str">
        <f t="shared" si="6"/>
        <v>UP</v>
      </c>
      <c r="T18" s="21" t="str">
        <f t="shared" si="7"/>
        <v>UP</v>
      </c>
      <c r="U18" s="21" t="str">
        <f t="shared" si="8"/>
        <v>Long Buildup</v>
      </c>
      <c r="V18" s="21" t="str">
        <f t="shared" si="9"/>
        <v>BEARISH</v>
      </c>
      <c r="W18" s="15" t="str">
        <f>VLOOKUP("PE_"&amp;U18,Strategy!$A$2:$H$11,8,0)</f>
        <v>Buy</v>
      </c>
      <c r="X18" s="24">
        <f t="shared" si="10"/>
        <v>0.39354779561143421</v>
      </c>
      <c r="Y18" s="24" t="str">
        <f t="shared" si="11"/>
        <v>Nifty will Decrease</v>
      </c>
    </row>
    <row r="19" spans="1:41" x14ac:dyDescent="0.3">
      <c r="A19" s="36" t="str">
        <f t="shared" si="0"/>
        <v>CE24700</v>
      </c>
      <c r="B19" s="36" t="str">
        <f t="shared" si="1"/>
        <v>PE24700</v>
      </c>
      <c r="C19" s="15" t="str">
        <f>VLOOKUP("CE_"&amp;E19,Strategy!$A$2:$H$11,7,0)</f>
        <v>Sell</v>
      </c>
      <c r="D19" s="21" t="str">
        <f t="shared" si="2"/>
        <v>BEARISH</v>
      </c>
      <c r="E19" s="21" t="str">
        <f t="shared" si="3"/>
        <v>Short Buildup</v>
      </c>
      <c r="F19" s="21" t="str">
        <f t="shared" si="4"/>
        <v>UP</v>
      </c>
      <c r="G19" s="21" t="str">
        <f t="shared" si="5"/>
        <v>DOWN</v>
      </c>
      <c r="H19" s="22">
        <f>VLOOKUP(A19,Data!A$11:AZ$113,6,0)</f>
        <v>10986507</v>
      </c>
      <c r="I19" s="22">
        <f>VLOOKUP(A19,Data!A$11:AZ$113,4,0)</f>
        <v>237876</v>
      </c>
      <c r="J19" s="23">
        <f>VLOOKUP(A19,Data!A$11:AZ$113,5,0)</f>
        <v>184290</v>
      </c>
      <c r="K19" s="23">
        <f>VLOOKUP(A19,Data!A$11:AZ$113,9,0)</f>
        <v>-81.849999999999994</v>
      </c>
      <c r="L19" s="24">
        <f>VLOOKUP(A19,Data!A$11:AZ$113,8,0)</f>
        <v>2.9</v>
      </c>
      <c r="M19" s="25">
        <f t="shared" ref="M19:M31" si="13">M18+100</f>
        <v>24700</v>
      </c>
      <c r="N19" s="24">
        <f>VLOOKUP(B19,Data!B$11:BN$113,19,0)</f>
        <v>120.1</v>
      </c>
      <c r="O19" s="23">
        <f>VLOOKUP(B19,Data!B$11:BN$113,18,0)</f>
        <v>66.899999999999906</v>
      </c>
      <c r="P19" s="23">
        <f>VLOOKUP(B19,Data!B$11:BN$113,22,0)</f>
        <v>-31554</v>
      </c>
      <c r="Q19" s="22">
        <f>VLOOKUP(B19,Data!B$11:BN$113,23,0)</f>
        <v>46580</v>
      </c>
      <c r="R19" s="22">
        <f>VLOOKUP(B19,Data!B$11:BN$113,21,0)</f>
        <v>3583954</v>
      </c>
      <c r="S19" s="21" t="str">
        <f t="shared" si="6"/>
        <v>UP</v>
      </c>
      <c r="T19" s="21" t="str">
        <f t="shared" si="7"/>
        <v>DOWN</v>
      </c>
      <c r="U19" s="21" t="str">
        <f t="shared" si="8"/>
        <v>Short covering</v>
      </c>
      <c r="V19" s="21" t="str">
        <f t="shared" si="9"/>
        <v>BEARISH</v>
      </c>
      <c r="W19" s="15" t="str">
        <f>VLOOKUP("PE_"&amp;U19,Strategy!$A$2:$H$11,8,0)</f>
        <v>Buy</v>
      </c>
      <c r="X19" s="24">
        <f t="shared" si="10"/>
        <v>0.19581630765608973</v>
      </c>
      <c r="Y19" s="24" t="str">
        <f t="shared" si="11"/>
        <v>Nifty will Decrease</v>
      </c>
    </row>
    <row r="20" spans="1:41" x14ac:dyDescent="0.3">
      <c r="A20" s="36" t="str">
        <f t="shared" si="0"/>
        <v>CE24800</v>
      </c>
      <c r="B20" s="36" t="str">
        <f t="shared" si="1"/>
        <v>PE24800</v>
      </c>
      <c r="C20" s="15" t="str">
        <f>VLOOKUP("CE_"&amp;E20,Strategy!$A$2:$H$11,7,0)</f>
        <v>Sell</v>
      </c>
      <c r="D20" s="21" t="str">
        <f t="shared" si="2"/>
        <v>BEARISH</v>
      </c>
      <c r="E20" s="21" t="str">
        <f t="shared" si="3"/>
        <v>Short Buildup</v>
      </c>
      <c r="F20" s="21" t="str">
        <f t="shared" si="4"/>
        <v>UP</v>
      </c>
      <c r="G20" s="21" t="str">
        <f t="shared" si="5"/>
        <v>DOWN</v>
      </c>
      <c r="H20" s="22">
        <f>VLOOKUP(A20,Data!A$11:AZ$113,6,0)</f>
        <v>6656925</v>
      </c>
      <c r="I20" s="22">
        <f>VLOOKUP(A20,Data!A$11:AZ$113,4,0)</f>
        <v>196602</v>
      </c>
      <c r="J20" s="23">
        <f>VLOOKUP(A20,Data!A$11:AZ$113,5,0)</f>
        <v>46653</v>
      </c>
      <c r="K20" s="23">
        <f>VLOOKUP(A20,Data!A$11:AZ$113,9,0)</f>
        <v>-40.65</v>
      </c>
      <c r="L20" s="24">
        <f>VLOOKUP(A20,Data!A$11:AZ$113,8,0)</f>
        <v>1.5</v>
      </c>
      <c r="M20" s="25">
        <f t="shared" si="13"/>
        <v>24800</v>
      </c>
      <c r="N20" s="24">
        <f>VLOOKUP(B20,Data!B$11:BN$113,19,0)</f>
        <v>218.9</v>
      </c>
      <c r="O20" s="23">
        <f>VLOOKUP(B20,Data!B$11:BN$113,18,0)</f>
        <v>112.8</v>
      </c>
      <c r="P20" s="23">
        <f>VLOOKUP(B20,Data!B$11:BN$113,22,0)</f>
        <v>-25377</v>
      </c>
      <c r="Q20" s="22">
        <f>VLOOKUP(B20,Data!B$11:BN$113,23,0)</f>
        <v>30154</v>
      </c>
      <c r="R20" s="22">
        <f>VLOOKUP(B20,Data!B$11:BN$113,21,0)</f>
        <v>650117</v>
      </c>
      <c r="S20" s="21" t="str">
        <f t="shared" si="6"/>
        <v>UP</v>
      </c>
      <c r="T20" s="21" t="str">
        <f t="shared" si="7"/>
        <v>DOWN</v>
      </c>
      <c r="U20" s="21" t="str">
        <f t="shared" si="8"/>
        <v>Short covering</v>
      </c>
      <c r="V20" s="21" t="str">
        <f t="shared" si="9"/>
        <v>BEARISH</v>
      </c>
      <c r="W20" s="15" t="str">
        <f>VLOOKUP("PE_"&amp;U20,Strategy!$A$2:$H$11,8,0)</f>
        <v>Buy</v>
      </c>
      <c r="X20" s="24">
        <f t="shared" si="10"/>
        <v>0.1533758557898699</v>
      </c>
      <c r="Y20" s="24" t="str">
        <f t="shared" si="11"/>
        <v>Nifty will Decrease</v>
      </c>
    </row>
    <row r="21" spans="1:41" x14ac:dyDescent="0.3">
      <c r="A21" s="36" t="str">
        <f t="shared" si="0"/>
        <v>CE24900</v>
      </c>
      <c r="B21" s="36" t="str">
        <f t="shared" si="1"/>
        <v>PE24900</v>
      </c>
      <c r="C21" s="15" t="str">
        <f>VLOOKUP("CE_"&amp;E21,Strategy!$A$2:$H$11,7,0)</f>
        <v>Sell</v>
      </c>
      <c r="D21" s="21" t="str">
        <f t="shared" si="2"/>
        <v>BEARISH</v>
      </c>
      <c r="E21" s="21" t="str">
        <f t="shared" si="3"/>
        <v>Long Liquidation</v>
      </c>
      <c r="F21" s="21" t="str">
        <f t="shared" si="4"/>
        <v>DOWN</v>
      </c>
      <c r="G21" s="21" t="str">
        <f t="shared" si="5"/>
        <v>DOWN</v>
      </c>
      <c r="H21" s="22">
        <f>VLOOKUP(A21,Data!A$11:AZ$113,6,0)</f>
        <v>2987054</v>
      </c>
      <c r="I21" s="22">
        <f>VLOOKUP(A21,Data!A$11:AZ$113,4,0)</f>
        <v>129058</v>
      </c>
      <c r="J21" s="23">
        <f>VLOOKUP(A21,Data!A$11:AZ$113,5,0)</f>
        <v>-5366</v>
      </c>
      <c r="K21" s="23">
        <f>VLOOKUP(A21,Data!A$11:AZ$113,9,0)</f>
        <v>-21.7</v>
      </c>
      <c r="L21" s="24">
        <f>VLOOKUP(A21,Data!A$11:AZ$113,8,0)</f>
        <v>1</v>
      </c>
      <c r="M21" s="25">
        <f t="shared" si="13"/>
        <v>24900</v>
      </c>
      <c r="N21" s="24">
        <f>VLOOKUP(B21,Data!B$11:BN$113,19,0)</f>
        <v>318.35000000000002</v>
      </c>
      <c r="O21" s="23">
        <f>VLOOKUP(B21,Data!B$11:BN$113,18,0)</f>
        <v>131.05000000000001</v>
      </c>
      <c r="P21" s="23">
        <f>VLOOKUP(B21,Data!B$11:BN$113,22,0)</f>
        <v>-12860</v>
      </c>
      <c r="Q21" s="22">
        <f>VLOOKUP(B21,Data!B$11:BN$113,23,0)</f>
        <v>18260</v>
      </c>
      <c r="R21" s="22">
        <f>VLOOKUP(B21,Data!B$11:BN$113,21,0)</f>
        <v>126281</v>
      </c>
      <c r="S21" s="21" t="str">
        <f t="shared" si="6"/>
        <v>UP</v>
      </c>
      <c r="T21" s="21" t="str">
        <f t="shared" si="7"/>
        <v>DOWN</v>
      </c>
      <c r="U21" s="21" t="str">
        <f t="shared" si="8"/>
        <v>Short covering</v>
      </c>
      <c r="V21" s="21" t="str">
        <f t="shared" si="9"/>
        <v>BEARISH</v>
      </c>
      <c r="W21" s="15" t="str">
        <f>VLOOKUP("PE_"&amp;U21,Strategy!$A$2:$H$11,8,0)</f>
        <v>Buy</v>
      </c>
      <c r="X21" s="24">
        <f t="shared" si="10"/>
        <v>0.14148677338870896</v>
      </c>
      <c r="Y21" s="24" t="str">
        <f t="shared" si="11"/>
        <v>Nifty will Decrease</v>
      </c>
    </row>
    <row r="22" spans="1:41" x14ac:dyDescent="0.3">
      <c r="A22" s="36" t="str">
        <f t="shared" si="0"/>
        <v>CE25000</v>
      </c>
      <c r="B22" s="36" t="str">
        <f t="shared" si="1"/>
        <v>PE25000</v>
      </c>
      <c r="C22" s="15" t="str">
        <f>VLOOKUP("CE_"&amp;E22,Strategy!$A$2:$H$11,7,0)</f>
        <v>Sell</v>
      </c>
      <c r="D22" s="21" t="str">
        <f t="shared" si="2"/>
        <v>BEARISH</v>
      </c>
      <c r="E22" s="21" t="str">
        <f t="shared" si="3"/>
        <v>Short Buildup</v>
      </c>
      <c r="F22" s="21" t="str">
        <f t="shared" si="4"/>
        <v>UP</v>
      </c>
      <c r="G22" s="21" t="str">
        <f t="shared" si="5"/>
        <v>DOWN</v>
      </c>
      <c r="H22" s="22">
        <f>VLOOKUP(A22,Data!A$11:AZ$113,6,0)</f>
        <v>2992112</v>
      </c>
      <c r="I22" s="22">
        <f>VLOOKUP(A22,Data!A$11:AZ$113,4,0)</f>
        <v>240808</v>
      </c>
      <c r="J22" s="23">
        <f>VLOOKUP(A22,Data!A$11:AZ$113,5,0)</f>
        <v>23700</v>
      </c>
      <c r="K22" s="23">
        <f>VLOOKUP(A22,Data!A$11:AZ$113,9,0)</f>
        <v>-12.1</v>
      </c>
      <c r="L22" s="24">
        <f>VLOOKUP(A22,Data!A$11:AZ$113,8,0)</f>
        <v>0.85</v>
      </c>
      <c r="M22" s="25">
        <f t="shared" si="13"/>
        <v>25000</v>
      </c>
      <c r="N22" s="24">
        <f>VLOOKUP(B22,Data!B$11:BN$113,19,0)</f>
        <v>417.8</v>
      </c>
      <c r="O22" s="23">
        <f>VLOOKUP(B22,Data!B$11:BN$113,18,0)</f>
        <v>139.05000000000001</v>
      </c>
      <c r="P22" s="23">
        <f>VLOOKUP(B22,Data!B$11:BN$113,22,0)</f>
        <v>-5607</v>
      </c>
      <c r="Q22" s="22">
        <f>VLOOKUP(B22,Data!B$11:BN$113,23,0)</f>
        <v>36654</v>
      </c>
      <c r="R22" s="22">
        <f>VLOOKUP(B22,Data!B$11:BN$113,21,0)</f>
        <v>80301</v>
      </c>
      <c r="S22" s="21" t="str">
        <f t="shared" si="6"/>
        <v>UP</v>
      </c>
      <c r="T22" s="21" t="str">
        <f t="shared" si="7"/>
        <v>DOWN</v>
      </c>
      <c r="U22" s="21" t="str">
        <f t="shared" si="8"/>
        <v>Short covering</v>
      </c>
      <c r="V22" s="21" t="str">
        <f t="shared" si="9"/>
        <v>BEARISH</v>
      </c>
      <c r="W22" s="15" t="str">
        <f>VLOOKUP("PE_"&amp;U22,Strategy!$A$2:$H$11,8,0)</f>
        <v>Buy</v>
      </c>
      <c r="X22" s="24">
        <f t="shared" si="10"/>
        <v>0.15221255107803727</v>
      </c>
      <c r="Y22" s="24" t="str">
        <f t="shared" si="11"/>
        <v>Nifty will Decrease</v>
      </c>
    </row>
    <row r="23" spans="1:41" x14ac:dyDescent="0.3">
      <c r="A23" s="36" t="str">
        <f t="shared" si="0"/>
        <v>CE25100</v>
      </c>
      <c r="B23" s="36" t="str">
        <f t="shared" si="1"/>
        <v>PE25100</v>
      </c>
      <c r="C23" s="15" t="str">
        <f>VLOOKUP("CE_"&amp;E23,Strategy!$A$2:$H$11,7,0)</f>
        <v>Sell</v>
      </c>
      <c r="D23" s="21" t="str">
        <f t="shared" si="2"/>
        <v>BEARISH</v>
      </c>
      <c r="E23" s="21" t="str">
        <f t="shared" si="3"/>
        <v>Short Buildup</v>
      </c>
      <c r="F23" s="21" t="str">
        <f t="shared" si="4"/>
        <v>UP</v>
      </c>
      <c r="G23" s="21" t="str">
        <f t="shared" si="5"/>
        <v>DOWN</v>
      </c>
      <c r="H23" s="22">
        <f>VLOOKUP(A23,Data!A$11:AZ$113,6,0)</f>
        <v>1843000</v>
      </c>
      <c r="I23" s="22">
        <f>VLOOKUP(A23,Data!A$11:AZ$113,4,0)</f>
        <v>142555</v>
      </c>
      <c r="J23" s="23">
        <f>VLOOKUP(A23,Data!A$11:AZ$113,5,0)</f>
        <v>809</v>
      </c>
      <c r="K23" s="23">
        <f>VLOOKUP(A23,Data!A$11:AZ$113,9,0)</f>
        <v>-6.6</v>
      </c>
      <c r="L23" s="24">
        <f>VLOOKUP(A23,Data!A$11:AZ$113,8,0)</f>
        <v>0.7</v>
      </c>
      <c r="M23" s="25">
        <f t="shared" si="13"/>
        <v>25100</v>
      </c>
      <c r="N23" s="24">
        <f>VLOOKUP(B23,Data!B$11:BN$113,19,0)</f>
        <v>520.29999999999995</v>
      </c>
      <c r="O23" s="23">
        <f>VLOOKUP(B23,Data!B$11:BN$113,18,0)</f>
        <v>146.29999999999899</v>
      </c>
      <c r="P23" s="23">
        <f>VLOOKUP(B23,Data!B$11:BN$113,22,0)</f>
        <v>-3783</v>
      </c>
      <c r="Q23" s="22">
        <f>VLOOKUP(B23,Data!B$11:BN$113,23,0)</f>
        <v>10341</v>
      </c>
      <c r="R23" s="22">
        <f>VLOOKUP(B23,Data!B$11:BN$113,21,0)</f>
        <v>12337</v>
      </c>
      <c r="S23" s="21" t="str">
        <f t="shared" si="6"/>
        <v>UP</v>
      </c>
      <c r="T23" s="21" t="str">
        <f t="shared" si="7"/>
        <v>DOWN</v>
      </c>
      <c r="U23" s="21" t="str">
        <f t="shared" si="8"/>
        <v>Short covering</v>
      </c>
      <c r="V23" s="21" t="str">
        <f t="shared" si="9"/>
        <v>BEARISH</v>
      </c>
      <c r="W23" s="15" t="str">
        <f>VLOOKUP("PE_"&amp;U23,Strategy!$A$2:$H$11,8,0)</f>
        <v>Buy</v>
      </c>
      <c r="X23" s="24">
        <f t="shared" si="10"/>
        <v>7.2540422994633647E-2</v>
      </c>
      <c r="Y23" s="24" t="str">
        <f t="shared" si="11"/>
        <v>Nifty will Decrease</v>
      </c>
    </row>
    <row r="24" spans="1:41" x14ac:dyDescent="0.3">
      <c r="A24" s="36" t="str">
        <f t="shared" si="0"/>
        <v>CE25200</v>
      </c>
      <c r="B24" s="36" t="str">
        <f t="shared" si="1"/>
        <v>PE25200</v>
      </c>
      <c r="C24" s="15" t="str">
        <f>VLOOKUP("CE_"&amp;E24,Strategy!$A$2:$H$11,7,0)</f>
        <v>Sell</v>
      </c>
      <c r="D24" s="21" t="str">
        <f t="shared" si="2"/>
        <v>BEARISH</v>
      </c>
      <c r="E24" s="21" t="str">
        <f t="shared" si="3"/>
        <v>Short Buildup</v>
      </c>
      <c r="F24" s="21" t="str">
        <f t="shared" si="4"/>
        <v>UP</v>
      </c>
      <c r="G24" s="21" t="str">
        <f t="shared" si="5"/>
        <v>DOWN</v>
      </c>
      <c r="H24" s="22">
        <f>VLOOKUP(A24,Data!A$11:AZ$113,6,0)</f>
        <v>1568799</v>
      </c>
      <c r="I24" s="22">
        <f>VLOOKUP(A24,Data!A$11:AZ$113,4,0)</f>
        <v>165027</v>
      </c>
      <c r="J24" s="23">
        <f>VLOOKUP(A24,Data!A$11:AZ$113,5,0)</f>
        <v>12265</v>
      </c>
      <c r="K24" s="23">
        <f>VLOOKUP(A24,Data!A$11:AZ$113,9,0)</f>
        <v>-4</v>
      </c>
      <c r="L24" s="24">
        <f>VLOOKUP(A24,Data!A$11:AZ$113,8,0)</f>
        <v>0.65</v>
      </c>
      <c r="M24" s="25">
        <f t="shared" si="13"/>
        <v>25200</v>
      </c>
      <c r="N24" s="24">
        <f>VLOOKUP(B24,Data!B$11:BN$113,19,0)</f>
        <v>617.70000000000005</v>
      </c>
      <c r="O24" s="23">
        <f>VLOOKUP(B24,Data!B$11:BN$113,18,0)</f>
        <v>144.30000000000001</v>
      </c>
      <c r="P24" s="23">
        <f>VLOOKUP(B24,Data!B$11:BN$113,22,0)</f>
        <v>-2334</v>
      </c>
      <c r="Q24" s="22">
        <f>VLOOKUP(B24,Data!B$11:BN$113,23,0)</f>
        <v>13785</v>
      </c>
      <c r="R24" s="22">
        <f>VLOOKUP(B24,Data!B$11:BN$113,21,0)</f>
        <v>9932</v>
      </c>
      <c r="S24" s="21" t="str">
        <f t="shared" si="6"/>
        <v>UP</v>
      </c>
      <c r="T24" s="21" t="str">
        <f t="shared" si="7"/>
        <v>DOWN</v>
      </c>
      <c r="U24" s="21" t="str">
        <f t="shared" si="8"/>
        <v>Short covering</v>
      </c>
      <c r="V24" s="21" t="str">
        <f t="shared" si="9"/>
        <v>BEARISH</v>
      </c>
      <c r="W24" s="15" t="str">
        <f>VLOOKUP("PE_"&amp;U24,Strategy!$A$2:$H$11,8,0)</f>
        <v>Buy</v>
      </c>
      <c r="X24" s="24">
        <f t="shared" si="10"/>
        <v>8.3531785707793266E-2</v>
      </c>
      <c r="Y24" s="24" t="str">
        <f t="shared" si="11"/>
        <v>Nifty will Decrease</v>
      </c>
    </row>
    <row r="25" spans="1:41" x14ac:dyDescent="0.3">
      <c r="A25" s="36" t="str">
        <f t="shared" si="0"/>
        <v>CE25300</v>
      </c>
      <c r="B25" s="36" t="str">
        <f t="shared" si="1"/>
        <v>PE25300</v>
      </c>
      <c r="C25" s="15" t="str">
        <f>VLOOKUP("CE_"&amp;E25,Strategy!$A$2:$H$11,7,0)</f>
        <v>Sell</v>
      </c>
      <c r="D25" s="21" t="str">
        <f t="shared" si="2"/>
        <v>BEARISH</v>
      </c>
      <c r="E25" s="21" t="str">
        <f t="shared" si="3"/>
        <v>Short Buildup</v>
      </c>
      <c r="F25" s="21" t="str">
        <f t="shared" si="4"/>
        <v>UP</v>
      </c>
      <c r="G25" s="21" t="str">
        <f t="shared" si="5"/>
        <v>DOWN</v>
      </c>
      <c r="H25" s="22">
        <f>VLOOKUP(A25,Data!A$11:AZ$113,6,0)</f>
        <v>1157744</v>
      </c>
      <c r="I25" s="22">
        <f>VLOOKUP(A25,Data!A$11:AZ$113,4,0)</f>
        <v>103232</v>
      </c>
      <c r="J25" s="23">
        <f>VLOOKUP(A25,Data!A$11:AZ$113,5,0)</f>
        <v>12662</v>
      </c>
      <c r="K25" s="23">
        <f>VLOOKUP(A25,Data!A$11:AZ$113,9,0)</f>
        <v>-2.5</v>
      </c>
      <c r="L25" s="24">
        <f>VLOOKUP(A25,Data!A$11:AZ$113,8,0)</f>
        <v>0.6</v>
      </c>
      <c r="M25" s="25">
        <f t="shared" si="13"/>
        <v>25300</v>
      </c>
      <c r="N25" s="24">
        <f>VLOOKUP(B25,Data!B$11:BN$113,19,0)</f>
        <v>719.45</v>
      </c>
      <c r="O25" s="23">
        <f>VLOOKUP(B25,Data!B$11:BN$113,18,0)</f>
        <v>149.25</v>
      </c>
      <c r="P25" s="23">
        <f>VLOOKUP(B25,Data!B$11:BN$113,22,0)</f>
        <v>-1069</v>
      </c>
      <c r="Q25" s="22">
        <f>VLOOKUP(B25,Data!B$11:BN$113,23,0)</f>
        <v>4206</v>
      </c>
      <c r="R25" s="22">
        <f>VLOOKUP(B25,Data!B$11:BN$113,21,0)</f>
        <v>4531</v>
      </c>
      <c r="S25" s="21" t="str">
        <f t="shared" si="6"/>
        <v>UP</v>
      </c>
      <c r="T25" s="21" t="str">
        <f t="shared" si="7"/>
        <v>DOWN</v>
      </c>
      <c r="U25" s="21" t="str">
        <f t="shared" si="8"/>
        <v>Short covering</v>
      </c>
      <c r="V25" s="21" t="str">
        <f t="shared" si="9"/>
        <v>BEARISH</v>
      </c>
      <c r="W25" s="15" t="str">
        <f>VLOOKUP("PE_"&amp;U25,Strategy!$A$2:$H$11,8,0)</f>
        <v>Buy</v>
      </c>
      <c r="X25" s="24">
        <f t="shared" si="10"/>
        <v>4.0743180409175447E-2</v>
      </c>
      <c r="Y25" s="24" t="str">
        <f t="shared" si="11"/>
        <v>Nifty will Decrease</v>
      </c>
    </row>
    <row r="26" spans="1:41" x14ac:dyDescent="0.3">
      <c r="A26" s="36" t="str">
        <f t="shared" si="0"/>
        <v>CE25400</v>
      </c>
      <c r="B26" s="36" t="str">
        <f t="shared" si="1"/>
        <v>PE25400</v>
      </c>
      <c r="C26" s="15" t="e">
        <f>VLOOKUP("CE_"&amp;E26,Strategy!$A$2:$H$11,7,0)</f>
        <v>#N/A</v>
      </c>
      <c r="D26" s="21" t="e">
        <f t="shared" si="2"/>
        <v>#N/A</v>
      </c>
      <c r="E26" s="21" t="e">
        <f t="shared" si="3"/>
        <v>#N/A</v>
      </c>
      <c r="F26" s="21" t="e">
        <f t="shared" si="4"/>
        <v>#N/A</v>
      </c>
      <c r="G26" s="21" t="e">
        <f t="shared" si="5"/>
        <v>#N/A</v>
      </c>
      <c r="H26" s="22" t="e">
        <f>VLOOKUP(A26,Data!A$11:AZ$113,6,0)</f>
        <v>#N/A</v>
      </c>
      <c r="I26" s="22" t="e">
        <f>VLOOKUP(A26,Data!A$11:AZ$113,4,0)</f>
        <v>#N/A</v>
      </c>
      <c r="J26" s="23" t="e">
        <f>VLOOKUP(A26,Data!A$11:AZ$113,5,0)</f>
        <v>#N/A</v>
      </c>
      <c r="K26" s="23" t="e">
        <f>VLOOKUP(A26,Data!A$11:AZ$113,9,0)</f>
        <v>#N/A</v>
      </c>
      <c r="L26" s="24" t="e">
        <f>VLOOKUP(A26,Data!A$8:AZ$113,8,0)</f>
        <v>#N/A</v>
      </c>
      <c r="M26" s="25">
        <f t="shared" si="13"/>
        <v>25400</v>
      </c>
      <c r="N26" s="24" t="e">
        <f>VLOOKUP(B26,Data!B$11:BN$113,19,0)</f>
        <v>#N/A</v>
      </c>
      <c r="O26" s="23" t="e">
        <f>VLOOKUP(B26,Data!B$11:BN$113,18,0)</f>
        <v>#N/A</v>
      </c>
      <c r="P26" s="23" t="e">
        <f>VLOOKUP(B26,Data!B$11:BN$113,22,0)</f>
        <v>#N/A</v>
      </c>
      <c r="Q26" s="22" t="e">
        <f>VLOOKUP(B26,Data!B$11:BN$113,23,0)</f>
        <v>#N/A</v>
      </c>
      <c r="R26" s="22" t="e">
        <f>VLOOKUP(B26,Data!B$11:BN$113,21,0)</f>
        <v>#N/A</v>
      </c>
      <c r="S26" s="21" t="e">
        <f t="shared" si="6"/>
        <v>#N/A</v>
      </c>
      <c r="T26" s="21" t="e">
        <f t="shared" si="7"/>
        <v>#N/A</v>
      </c>
      <c r="U26" s="21" t="e">
        <f t="shared" si="8"/>
        <v>#N/A</v>
      </c>
      <c r="V26" s="21" t="e">
        <f t="shared" si="9"/>
        <v>#N/A</v>
      </c>
      <c r="W26" s="15" t="e">
        <f>VLOOKUP("PE_"&amp;U26,Strategy!$A$2:$H$11,8,0)</f>
        <v>#N/A</v>
      </c>
      <c r="X26" s="24">
        <f t="shared" si="10"/>
        <v>0</v>
      </c>
      <c r="Y26" s="24" t="str">
        <f t="shared" si="11"/>
        <v>Nifty will Decrease</v>
      </c>
    </row>
    <row r="27" spans="1:41" x14ac:dyDescent="0.3">
      <c r="A27" s="36" t="str">
        <f t="shared" si="0"/>
        <v>CE25500</v>
      </c>
      <c r="B27" s="36" t="str">
        <f t="shared" si="1"/>
        <v>PE25500</v>
      </c>
      <c r="C27" s="15" t="e">
        <f>VLOOKUP("CE_"&amp;E27,Strategy!$A$2:$H$11,7,0)</f>
        <v>#N/A</v>
      </c>
      <c r="D27" s="21" t="e">
        <f t="shared" si="2"/>
        <v>#N/A</v>
      </c>
      <c r="E27" s="21" t="e">
        <f t="shared" si="3"/>
        <v>#N/A</v>
      </c>
      <c r="F27" s="21" t="e">
        <f t="shared" si="4"/>
        <v>#N/A</v>
      </c>
      <c r="G27" s="21" t="e">
        <f t="shared" si="5"/>
        <v>#N/A</v>
      </c>
      <c r="H27" s="22" t="e">
        <f>VLOOKUP(A27,Data!A$11:AZ$113,6,0)</f>
        <v>#N/A</v>
      </c>
      <c r="I27" s="22" t="e">
        <f>VLOOKUP(A27,Data!A$11:AZ$113,4,0)</f>
        <v>#N/A</v>
      </c>
      <c r="J27" s="23" t="e">
        <f>VLOOKUP(A27,Data!A$11:AZ$113,5,0)</f>
        <v>#N/A</v>
      </c>
      <c r="K27" s="23" t="e">
        <f>VLOOKUP(A27,Data!A$11:AZ$113,9,0)</f>
        <v>#N/A</v>
      </c>
      <c r="L27" s="24" t="e">
        <f>VLOOKUP(A27,Data!A$11:AZ$113,8,0)</f>
        <v>#N/A</v>
      </c>
      <c r="M27" s="25">
        <f t="shared" si="13"/>
        <v>25500</v>
      </c>
      <c r="N27" s="24" t="e">
        <f>VLOOKUP(B27,Data!B$11:BN$113,19,0)</f>
        <v>#N/A</v>
      </c>
      <c r="O27" s="23" t="e">
        <f>VLOOKUP(B27,Data!B$11:BN$113,18,0)</f>
        <v>#N/A</v>
      </c>
      <c r="P27" s="23" t="e">
        <f>VLOOKUP(B27,Data!B$11:BN$113,22,0)</f>
        <v>#N/A</v>
      </c>
      <c r="Q27" s="22" t="e">
        <f>VLOOKUP(B27,Data!B$11:BN$113,23,0)</f>
        <v>#N/A</v>
      </c>
      <c r="R27" s="22" t="e">
        <f>VLOOKUP(B27,Data!B$11:BN$113,21,0)</f>
        <v>#N/A</v>
      </c>
      <c r="S27" s="21" t="e">
        <f t="shared" si="6"/>
        <v>#N/A</v>
      </c>
      <c r="T27" s="21" t="e">
        <f t="shared" si="7"/>
        <v>#N/A</v>
      </c>
      <c r="U27" s="21" t="e">
        <f t="shared" si="8"/>
        <v>#N/A</v>
      </c>
      <c r="V27" s="21" t="e">
        <f t="shared" si="9"/>
        <v>#N/A</v>
      </c>
      <c r="W27" s="15" t="e">
        <f>VLOOKUP("PE_"&amp;U27,Strategy!$A$2:$H$11,8,0)</f>
        <v>#N/A</v>
      </c>
      <c r="X27" s="24">
        <f t="shared" si="10"/>
        <v>0</v>
      </c>
      <c r="Y27" s="24" t="str">
        <f t="shared" si="11"/>
        <v>Nifty will Decrease</v>
      </c>
    </row>
    <row r="28" spans="1:41" x14ac:dyDescent="0.3">
      <c r="A28" s="36" t="str">
        <f t="shared" si="0"/>
        <v>CE25600</v>
      </c>
      <c r="B28" s="36" t="str">
        <f t="shared" si="1"/>
        <v>PE25600</v>
      </c>
      <c r="C28" s="15" t="e">
        <f>VLOOKUP("CE_"&amp;E28,Strategy!$A$2:$H$11,7,0)</f>
        <v>#N/A</v>
      </c>
      <c r="D28" s="21" t="e">
        <f t="shared" si="2"/>
        <v>#N/A</v>
      </c>
      <c r="E28" s="21" t="e">
        <f t="shared" si="3"/>
        <v>#N/A</v>
      </c>
      <c r="F28" s="21" t="e">
        <f t="shared" si="4"/>
        <v>#N/A</v>
      </c>
      <c r="G28" s="21" t="e">
        <f t="shared" si="5"/>
        <v>#N/A</v>
      </c>
      <c r="H28" s="22" t="e">
        <f>VLOOKUP(A28,Data!A$11:AZ$113,6,0)</f>
        <v>#N/A</v>
      </c>
      <c r="I28" s="22" t="e">
        <f>VLOOKUP(A28,Data!A$11:AZ$113,4,0)</f>
        <v>#N/A</v>
      </c>
      <c r="J28" s="23" t="e">
        <f>VLOOKUP(A28,Data!A$11:AZ$113,5,0)</f>
        <v>#N/A</v>
      </c>
      <c r="K28" s="23" t="e">
        <f>VLOOKUP(A28,Data!A$11:AZ$113,9,0)</f>
        <v>#N/A</v>
      </c>
      <c r="L28" s="24" t="e">
        <f>VLOOKUP(A28,Data!A$11:AZ$113,8,0)</f>
        <v>#N/A</v>
      </c>
      <c r="M28" s="25">
        <f t="shared" si="13"/>
        <v>25600</v>
      </c>
      <c r="N28" s="24" t="e">
        <f>VLOOKUP(B28,Data!B$11:BN$113,19,0)</f>
        <v>#N/A</v>
      </c>
      <c r="O28" s="23" t="e">
        <f>VLOOKUP(B28,Data!B$11:BN$113,18,0)</f>
        <v>#N/A</v>
      </c>
      <c r="P28" s="23" t="e">
        <f>VLOOKUP(B28,Data!B$11:BN$113,22,0)</f>
        <v>#N/A</v>
      </c>
      <c r="Q28" s="22" t="e">
        <f>VLOOKUP(B28,Data!B$11:BN$113,23,0)</f>
        <v>#N/A</v>
      </c>
      <c r="R28" s="22" t="e">
        <f>VLOOKUP(B28,Data!B$11:BN$113,21,0)</f>
        <v>#N/A</v>
      </c>
      <c r="S28" s="21" t="e">
        <f t="shared" si="6"/>
        <v>#N/A</v>
      </c>
      <c r="T28" s="21" t="e">
        <f t="shared" si="7"/>
        <v>#N/A</v>
      </c>
      <c r="U28" s="21" t="e">
        <f t="shared" si="8"/>
        <v>#N/A</v>
      </c>
      <c r="V28" s="21" t="e">
        <f t="shared" si="9"/>
        <v>#N/A</v>
      </c>
      <c r="W28" s="15" t="e">
        <f>VLOOKUP("PE_"&amp;U28,Strategy!$A$2:$H$11,8,0)</f>
        <v>#N/A</v>
      </c>
      <c r="X28" s="24">
        <f t="shared" si="10"/>
        <v>0</v>
      </c>
      <c r="Y28" s="24" t="str">
        <f t="shared" si="11"/>
        <v>Nifty will Decrease</v>
      </c>
    </row>
    <row r="29" spans="1:41" x14ac:dyDescent="0.3">
      <c r="A29" s="36" t="str">
        <f t="shared" si="0"/>
        <v>CE25700</v>
      </c>
      <c r="B29" s="36" t="str">
        <f t="shared" si="1"/>
        <v>PE25700</v>
      </c>
      <c r="C29" s="15" t="e">
        <f>VLOOKUP("CE_"&amp;E29,Strategy!$A$2:$H$11,7,0)</f>
        <v>#N/A</v>
      </c>
      <c r="D29" s="21" t="e">
        <f t="shared" si="2"/>
        <v>#N/A</v>
      </c>
      <c r="E29" s="21" t="e">
        <f t="shared" si="3"/>
        <v>#N/A</v>
      </c>
      <c r="F29" s="21" t="e">
        <f t="shared" si="4"/>
        <v>#N/A</v>
      </c>
      <c r="G29" s="21" t="e">
        <f t="shared" si="5"/>
        <v>#N/A</v>
      </c>
      <c r="H29" s="22" t="e">
        <f>VLOOKUP(A29,Data!A$11:AZ$113,6,0)</f>
        <v>#N/A</v>
      </c>
      <c r="I29" s="22" t="e">
        <f>VLOOKUP(A29,Data!A$11:AZ$113,4,0)</f>
        <v>#N/A</v>
      </c>
      <c r="J29" s="23" t="e">
        <f>VLOOKUP(A29,Data!A$11:AZ$113,5,0)</f>
        <v>#N/A</v>
      </c>
      <c r="K29" s="23" t="e">
        <f>VLOOKUP(A29,Data!A$11:AZ$113,9,0)</f>
        <v>#N/A</v>
      </c>
      <c r="L29" s="24" t="e">
        <f>VLOOKUP(A29,Data!A$11:AZ$113,8,0)</f>
        <v>#N/A</v>
      </c>
      <c r="M29" s="25">
        <f t="shared" si="13"/>
        <v>25700</v>
      </c>
      <c r="N29" s="24" t="e">
        <f>VLOOKUP(B29,Data!B$11:BN$113,19,0)</f>
        <v>#N/A</v>
      </c>
      <c r="O29" s="23" t="e">
        <f>VLOOKUP(B29,Data!B$11:BN$113,18,0)</f>
        <v>#N/A</v>
      </c>
      <c r="P29" s="23" t="e">
        <f>VLOOKUP(B29,Data!B$11:BN$113,22,0)</f>
        <v>#N/A</v>
      </c>
      <c r="Q29" s="22" t="e">
        <f>VLOOKUP(B29,Data!B$11:BN$113,23,0)</f>
        <v>#N/A</v>
      </c>
      <c r="R29" s="22" t="e">
        <f>VLOOKUP(B29,Data!B$11:BN$113,21,0)</f>
        <v>#N/A</v>
      </c>
      <c r="S29" s="21" t="e">
        <f t="shared" si="6"/>
        <v>#N/A</v>
      </c>
      <c r="T29" s="21" t="e">
        <f t="shared" si="7"/>
        <v>#N/A</v>
      </c>
      <c r="U29" s="21" t="e">
        <f t="shared" si="8"/>
        <v>#N/A</v>
      </c>
      <c r="V29" s="21" t="e">
        <f t="shared" si="9"/>
        <v>#N/A</v>
      </c>
      <c r="W29" s="15" t="e">
        <f>VLOOKUP("PE_"&amp;U29,Strategy!$A$2:$H$11,8,0)</f>
        <v>#N/A</v>
      </c>
      <c r="X29" s="24">
        <f t="shared" si="10"/>
        <v>0</v>
      </c>
      <c r="Y29" s="24" t="str">
        <f t="shared" si="11"/>
        <v>Nifty will Decrease</v>
      </c>
      <c r="AC29" s="76" t="s">
        <v>23</v>
      </c>
      <c r="AD29" s="77"/>
      <c r="AE29" s="77"/>
      <c r="AF29" s="77"/>
      <c r="AG29" s="77"/>
      <c r="AH29" s="78"/>
      <c r="AI29" s="76" t="s">
        <v>24</v>
      </c>
      <c r="AJ29" s="77"/>
      <c r="AK29" s="77"/>
      <c r="AL29" s="77"/>
      <c r="AM29" s="77"/>
      <c r="AN29" s="78"/>
    </row>
    <row r="30" spans="1:41" x14ac:dyDescent="0.3">
      <c r="A30" s="36" t="str">
        <f t="shared" si="0"/>
        <v>CE25800</v>
      </c>
      <c r="B30" s="36" t="str">
        <f t="shared" si="1"/>
        <v>PE25800</v>
      </c>
      <c r="C30" s="15" t="e">
        <f>VLOOKUP("CE_"&amp;E30,Strategy!$A$2:$H$11,7,0)</f>
        <v>#N/A</v>
      </c>
      <c r="D30" s="21" t="e">
        <f t="shared" si="2"/>
        <v>#N/A</v>
      </c>
      <c r="E30" s="21" t="e">
        <f t="shared" si="3"/>
        <v>#N/A</v>
      </c>
      <c r="F30" s="21" t="e">
        <f t="shared" si="4"/>
        <v>#N/A</v>
      </c>
      <c r="G30" s="21" t="e">
        <f t="shared" si="5"/>
        <v>#N/A</v>
      </c>
      <c r="H30" s="22" t="e">
        <f>VLOOKUP(A30,Data!A$11:AZ$113,6,0)</f>
        <v>#N/A</v>
      </c>
      <c r="I30" s="22" t="e">
        <f>VLOOKUP(A30,Data!A$11:AZ$113,4,0)</f>
        <v>#N/A</v>
      </c>
      <c r="J30" s="23" t="e">
        <f>VLOOKUP(A30,Data!A$11:AZ$113,5,0)</f>
        <v>#N/A</v>
      </c>
      <c r="K30" s="23" t="e">
        <f>VLOOKUP(A30,Data!A$11:AZ$113,9,0)</f>
        <v>#N/A</v>
      </c>
      <c r="L30" s="24" t="e">
        <f>VLOOKUP(A30,Data!A$11:AZ$113,8,0)</f>
        <v>#N/A</v>
      </c>
      <c r="M30" s="25">
        <f t="shared" si="13"/>
        <v>25800</v>
      </c>
      <c r="N30" s="24" t="e">
        <f>VLOOKUP(B30,Data!B$11:BN$113,19,0)</f>
        <v>#N/A</v>
      </c>
      <c r="O30" s="23" t="e">
        <f>VLOOKUP(B30,Data!B$11:BN$113,18,0)</f>
        <v>#N/A</v>
      </c>
      <c r="P30" s="23" t="e">
        <f>VLOOKUP(B30,Data!B$11:BN$113,22,0)</f>
        <v>#N/A</v>
      </c>
      <c r="Q30" s="22" t="e">
        <f>VLOOKUP(B30,Data!B$11:BN$113,23,0)</f>
        <v>#N/A</v>
      </c>
      <c r="R30" s="22" t="e">
        <f>VLOOKUP(B30,Data!B$11:BN$113,21,0)</f>
        <v>#N/A</v>
      </c>
      <c r="S30" s="21" t="e">
        <f t="shared" si="6"/>
        <v>#N/A</v>
      </c>
      <c r="T30" s="21" t="e">
        <f t="shared" si="7"/>
        <v>#N/A</v>
      </c>
      <c r="U30" s="21" t="e">
        <f t="shared" si="8"/>
        <v>#N/A</v>
      </c>
      <c r="V30" s="21" t="e">
        <f t="shared" si="9"/>
        <v>#N/A</v>
      </c>
      <c r="W30" s="15" t="e">
        <f>VLOOKUP("PE_"&amp;U30,Strategy!$A$2:$H$11,8,0)</f>
        <v>#N/A</v>
      </c>
      <c r="X30" s="24">
        <f t="shared" si="10"/>
        <v>0</v>
      </c>
      <c r="Y30" s="24" t="str">
        <f t="shared" si="11"/>
        <v>Nifty will Decrease</v>
      </c>
      <c r="AC30" s="65" t="s">
        <v>25</v>
      </c>
      <c r="AD30" s="66" t="s">
        <v>26</v>
      </c>
      <c r="AE30" s="66" t="s">
        <v>27</v>
      </c>
      <c r="AF30" s="66" t="s">
        <v>28</v>
      </c>
      <c r="AG30" s="66" t="s">
        <v>29</v>
      </c>
      <c r="AH30" s="66" t="s">
        <v>30</v>
      </c>
      <c r="AI30" s="66" t="s">
        <v>26</v>
      </c>
      <c r="AJ30" s="66" t="s">
        <v>27</v>
      </c>
      <c r="AK30" s="66" t="s">
        <v>28</v>
      </c>
      <c r="AL30" s="66" t="s">
        <v>29</v>
      </c>
      <c r="AM30" s="66" t="s">
        <v>30</v>
      </c>
      <c r="AN30" s="70" t="s">
        <v>31</v>
      </c>
      <c r="AO30" s="70" t="s">
        <v>32</v>
      </c>
    </row>
    <row r="31" spans="1:41" ht="18" customHeight="1" x14ac:dyDescent="0.35">
      <c r="A31" s="36" t="str">
        <f t="shared" si="0"/>
        <v>CE25900</v>
      </c>
      <c r="B31" s="36" t="str">
        <f t="shared" si="1"/>
        <v>PE25900</v>
      </c>
      <c r="C31" s="15" t="e">
        <f>VLOOKUP("CE_"&amp;E31,Strategy!$A$2:$H$11,7,0)</f>
        <v>#N/A</v>
      </c>
      <c r="D31" s="27" t="e">
        <f t="shared" si="2"/>
        <v>#N/A</v>
      </c>
      <c r="E31" s="27" t="e">
        <f t="shared" si="3"/>
        <v>#N/A</v>
      </c>
      <c r="F31" s="27" t="e">
        <f t="shared" si="4"/>
        <v>#N/A</v>
      </c>
      <c r="G31" s="27" t="e">
        <f t="shared" si="5"/>
        <v>#N/A</v>
      </c>
      <c r="H31" s="28" t="e">
        <f>VLOOKUP(A31,Data!A$11:AZ$113,6,0)</f>
        <v>#N/A</v>
      </c>
      <c r="I31" s="28" t="e">
        <f>VLOOKUP(A31,Data!A$11:AZ$113,4,0)</f>
        <v>#N/A</v>
      </c>
      <c r="J31" s="29" t="e">
        <f>VLOOKUP(A31,Data!A$11:AZ$113,5,0)</f>
        <v>#N/A</v>
      </c>
      <c r="K31" s="29" t="e">
        <f>VLOOKUP(A31,Data!A$11:AZ$113,9,0)</f>
        <v>#N/A</v>
      </c>
      <c r="L31" s="30" t="e">
        <f>VLOOKUP(A31,Data!A$11:AZ$113,8,0)</f>
        <v>#N/A</v>
      </c>
      <c r="M31" s="31">
        <f t="shared" si="13"/>
        <v>25900</v>
      </c>
      <c r="N31" s="30" t="e">
        <f>VLOOKUP(B31,Data!B$11:BN$113,19,0)</f>
        <v>#N/A</v>
      </c>
      <c r="O31" s="23" t="e">
        <f>VLOOKUP(B31,Data!B$11:BN$113,18,0)</f>
        <v>#N/A</v>
      </c>
      <c r="P31" s="23" t="e">
        <f>VLOOKUP(B31,Data!B$11:BN$113,22,0)</f>
        <v>#N/A</v>
      </c>
      <c r="Q31" s="22" t="e">
        <f>VLOOKUP(B31,Data!B$11:BN$113,23,0)</f>
        <v>#N/A</v>
      </c>
      <c r="R31" s="22" t="e">
        <f>VLOOKUP(B31,Data!B$11:BN$113,21,0)</f>
        <v>#N/A</v>
      </c>
      <c r="S31" s="27" t="e">
        <f t="shared" si="6"/>
        <v>#N/A</v>
      </c>
      <c r="T31" s="27" t="e">
        <f t="shared" si="7"/>
        <v>#N/A</v>
      </c>
      <c r="U31" s="27" t="e">
        <f t="shared" si="8"/>
        <v>#N/A</v>
      </c>
      <c r="V31" s="27" t="e">
        <f t="shared" si="9"/>
        <v>#N/A</v>
      </c>
      <c r="W31" s="15" t="e">
        <f>VLOOKUP("PE_"&amp;U31,Strategy!$A$2:$H$11,8,0)</f>
        <v>#N/A</v>
      </c>
      <c r="X31" s="30">
        <f t="shared" si="10"/>
        <v>0</v>
      </c>
      <c r="Y31" s="30" t="str">
        <f t="shared" si="11"/>
        <v>Nifty will Decrease</v>
      </c>
      <c r="AA31" s="51">
        <f ca="1">NOW()</f>
        <v>45897.600695833331</v>
      </c>
      <c r="AB31" s="67" t="str">
        <f ca="1">TEXT(AA31,"hh:mm")</f>
        <v>14:25</v>
      </c>
      <c r="AC31" s="62">
        <f>Q32/I32</f>
        <v>0.8777576065169137</v>
      </c>
      <c r="AD31" s="62">
        <f>AI39/G39</f>
        <v>-0.26460958514296351</v>
      </c>
      <c r="AE31" s="62">
        <f>AI41/G41</f>
        <v>5.2377907407246509E-2</v>
      </c>
      <c r="AF31" s="62">
        <f>AI40/G40</f>
        <v>-7.4129715020346765E-2</v>
      </c>
      <c r="AG31" s="62">
        <f>INDEX($M$7:$M$31,MATCH(G39,$J$7:$J$31,0))</f>
        <v>24600</v>
      </c>
      <c r="AH31" s="62">
        <f>INDEX($M$7:$M$31,MATCH(H39,$P$7:$P$31,0))</f>
        <v>24500</v>
      </c>
      <c r="AI31" s="62">
        <f>AI50/G50</f>
        <v>-0.26460958514296351</v>
      </c>
      <c r="AJ31" s="62">
        <f>AI51/G51</f>
        <v>5.2377907407246509E-2</v>
      </c>
      <c r="AK31" s="62">
        <f>AI49/G49</f>
        <v>-7.4129715020346765E-2</v>
      </c>
      <c r="AL31" s="62">
        <f>INDEX($M$7:$M$31,MATCH(G49,$I$7:$I$31,0))</f>
        <v>24600</v>
      </c>
      <c r="AM31" s="62">
        <f>INDEX($M$7:$M$31,MATCH(H49,$Q$7:$Q$31,0))</f>
        <v>24500</v>
      </c>
      <c r="AN31" s="74">
        <f>X33</f>
        <v>0.92587028497965329</v>
      </c>
      <c r="AO31" s="73">
        <f>R33/H33</f>
        <v>1.0523779074072466</v>
      </c>
    </row>
    <row r="32" spans="1:41" ht="15.6" customHeight="1" x14ac:dyDescent="0.3">
      <c r="C32" s="32"/>
      <c r="D32" s="32"/>
      <c r="E32" s="32"/>
      <c r="F32" s="32"/>
      <c r="G32" s="32"/>
      <c r="H32" s="32"/>
      <c r="I32" s="33">
        <f>SUMIF(I7:I31,"&lt;&gt;#N/A")</f>
        <v>1830437</v>
      </c>
      <c r="J32" s="32"/>
      <c r="K32" s="32"/>
      <c r="L32" s="34"/>
      <c r="M32" s="32"/>
      <c r="N32" s="34"/>
      <c r="O32" s="32"/>
      <c r="P32" s="32"/>
      <c r="Q32" s="33">
        <f>SUMIF(Q7:Q31,"&lt;&gt;#N/A")</f>
        <v>1606680</v>
      </c>
      <c r="R32" s="32"/>
      <c r="S32" s="32"/>
      <c r="T32" s="32"/>
      <c r="U32" s="32"/>
      <c r="V32" s="32"/>
      <c r="W32" s="9"/>
      <c r="X32" s="71">
        <f>Q32/I32</f>
        <v>0.8777576065169137</v>
      </c>
      <c r="Y32" s="35" t="str">
        <f t="shared" si="11"/>
        <v>Nifty will Decrease</v>
      </c>
    </row>
    <row r="33" spans="5:38" ht="15.6" customHeight="1" x14ac:dyDescent="0.3">
      <c r="H33">
        <f>MAX(Data!F8:F150)</f>
        <v>15422762</v>
      </c>
      <c r="I33">
        <f>MAX(Data!D8:D150)</f>
        <v>479929</v>
      </c>
      <c r="Q33">
        <f>MAX(Data!X8:X150)</f>
        <v>444352</v>
      </c>
      <c r="R33">
        <f>MAX(Data!V8:V150)</f>
        <v>16230574</v>
      </c>
      <c r="X33" s="72">
        <f>Q33/I33</f>
        <v>0.92587028497965329</v>
      </c>
    </row>
    <row r="35" spans="5:38" x14ac:dyDescent="0.3">
      <c r="G35" s="52"/>
      <c r="H35" s="52"/>
    </row>
    <row r="36" spans="5:38" x14ac:dyDescent="0.3">
      <c r="J36" s="53" t="s">
        <v>33</v>
      </c>
      <c r="K36" s="53" t="s">
        <v>34</v>
      </c>
      <c r="L36" s="53" t="s">
        <v>35</v>
      </c>
      <c r="M36" s="53" t="s">
        <v>36</v>
      </c>
      <c r="N36" s="53" t="s">
        <v>37</v>
      </c>
      <c r="O36" s="53" t="s">
        <v>38</v>
      </c>
      <c r="P36" s="53" t="s">
        <v>39</v>
      </c>
      <c r="Q36" s="53" t="s">
        <v>40</v>
      </c>
      <c r="R36" s="53" t="s">
        <v>41</v>
      </c>
      <c r="S36" s="53" t="s">
        <v>42</v>
      </c>
      <c r="T36" s="53" t="s">
        <v>43</v>
      </c>
      <c r="U36" s="53" t="s">
        <v>44</v>
      </c>
      <c r="V36" s="54" t="s">
        <v>45</v>
      </c>
      <c r="W36" s="54" t="s">
        <v>46</v>
      </c>
      <c r="X36" s="54" t="s">
        <v>47</v>
      </c>
      <c r="Y36" s="54" t="s">
        <v>48</v>
      </c>
      <c r="Z36" s="54" t="s">
        <v>49</v>
      </c>
      <c r="AA36" s="54" t="s">
        <v>50</v>
      </c>
      <c r="AB36" s="54" t="s">
        <v>51</v>
      </c>
      <c r="AC36" s="54" t="s">
        <v>52</v>
      </c>
      <c r="AD36" s="54" t="s">
        <v>53</v>
      </c>
      <c r="AE36" s="54" t="s">
        <v>54</v>
      </c>
      <c r="AF36" s="54" t="s">
        <v>55</v>
      </c>
      <c r="AG36" s="54" t="s">
        <v>56</v>
      </c>
      <c r="AH36" s="57" t="s">
        <v>25</v>
      </c>
    </row>
    <row r="37" spans="5:38" ht="21" customHeight="1" x14ac:dyDescent="0.4">
      <c r="E37" s="79" t="s">
        <v>57</v>
      </c>
      <c r="F37" s="37" t="s">
        <v>58</v>
      </c>
      <c r="G37" s="38" t="s">
        <v>3</v>
      </c>
      <c r="H37" s="38" t="s">
        <v>4</v>
      </c>
      <c r="I37" s="37"/>
      <c r="AH37" s="58">
        <f>Q32/I32</f>
        <v>0.8777576065169137</v>
      </c>
    </row>
    <row r="38" spans="5:38" x14ac:dyDescent="0.3">
      <c r="E38" s="80"/>
      <c r="F38" s="39" t="s">
        <v>59</v>
      </c>
      <c r="G38" s="40">
        <f>INDEX($M$7:$M$31,MATCH(G39,$J$7:$J$31,0))</f>
        <v>24600</v>
      </c>
      <c r="H38" s="40">
        <f>INDEX($M$7:$M$31,MATCH(H39,$P$7:$P$31,0))</f>
        <v>24500</v>
      </c>
      <c r="I38" s="39"/>
    </row>
    <row r="39" spans="5:38" ht="21" customHeight="1" x14ac:dyDescent="0.4">
      <c r="E39" s="80"/>
      <c r="F39" s="41" t="s">
        <v>58</v>
      </c>
      <c r="G39" s="42">
        <f>_xlfn.AGGREGATE(4,6,J7:J31)</f>
        <v>462111</v>
      </c>
      <c r="H39" s="42">
        <f>_xlfn.AGGREGATE(4,6,P7:P31)</f>
        <v>339832</v>
      </c>
      <c r="I39" s="21" t="str">
        <f>IF(H39&gt;G39,"Bullish","Bearish")</f>
        <v>Bearish</v>
      </c>
      <c r="J39" t="str">
        <f>IF(G39&gt;(H39+G39*0.2),"Bearish","Normal")</f>
        <v>Bearish</v>
      </c>
      <c r="K39" t="str">
        <f>IF(G39&gt;(H39+G39*0.3),"Bearish","Normal")</f>
        <v>Normal</v>
      </c>
      <c r="L39" t="str">
        <f>IF(G39&gt;(H39+G39*0.4),"Bearish","Normal")</f>
        <v>Normal</v>
      </c>
      <c r="M39" t="str">
        <f>IF(G39&gt;(H39+G39*0.5),"Bearish","Normal")</f>
        <v>Normal</v>
      </c>
      <c r="N39" t="str">
        <f>IF(G39&gt;(H39+G39*0.55),"Bearish","Normal")</f>
        <v>Normal</v>
      </c>
      <c r="O39" t="str">
        <f>IF(G39&gt;(H39+G39*0.6),"Bearish","Normal")</f>
        <v>Normal</v>
      </c>
      <c r="P39" t="str">
        <f>IF(G39&gt;(H39+G39*0.65),"Bearish","Normal")</f>
        <v>Normal</v>
      </c>
      <c r="Q39" t="str">
        <f>IF(G39&gt;(H39+G39*0.7),"Bearish","Normal")</f>
        <v>Normal</v>
      </c>
      <c r="R39" t="str">
        <f>IF(G39&gt;(H39+G39*0.8),"Bearish","Normal")</f>
        <v>Normal</v>
      </c>
      <c r="S39" t="str">
        <f>IF(G39&gt;(H39+G39*0.9),"Bearish","Normal")</f>
        <v>Normal</v>
      </c>
      <c r="T39" t="str">
        <f>IF(G39&gt;(H39+G39*0.95),"Bearish","Normal")</f>
        <v>Normal</v>
      </c>
      <c r="U39" t="str">
        <f>IF(G39&gt;(H39+G39*2),"Bearish","Normal")</f>
        <v>Normal</v>
      </c>
      <c r="V39" t="str">
        <f>IF(H39&gt;(G39+H39*0.2),"Bullish","Normal")</f>
        <v>Normal</v>
      </c>
      <c r="W39" t="str">
        <f>IF(H39&gt;(G39+H39*0.3),"Bullish","Normal")</f>
        <v>Normal</v>
      </c>
      <c r="X39" t="str">
        <f>IF(H39&gt;(G39+H39*0.4),"Bullish","Normal")</f>
        <v>Normal</v>
      </c>
      <c r="Y39" t="str">
        <f>IF(H39&gt;(G39+H39*0.5),"Bullish","Normal")</f>
        <v>Normal</v>
      </c>
      <c r="Z39" t="str">
        <f>IF(H39&gt;(G39+H39*0.55),"Bullish","Normal")</f>
        <v>Normal</v>
      </c>
      <c r="AA39" t="str">
        <f>IF(H39&gt;(G39+H39*0.6),"Bullish","Normal")</f>
        <v>Normal</v>
      </c>
      <c r="AB39" t="str">
        <f>IF(H39&gt;(G39+H39*0.65),"Bullish","Normal")</f>
        <v>Normal</v>
      </c>
      <c r="AC39" t="str">
        <f>IF(H39&gt;(G39+H39*0.7),"Bullish","Normal")</f>
        <v>Normal</v>
      </c>
      <c r="AD39" t="str">
        <f>IF(H39&gt;(G39+H39*0.8),"Bullish","Normal")</f>
        <v>Normal</v>
      </c>
      <c r="AE39" t="str">
        <f>IF(H39&gt;(G39+H39*0.9),"Bullish","Normal")</f>
        <v>Normal</v>
      </c>
      <c r="AF39" t="str">
        <f>IF(H39&gt;(G39+H39*0.95),"Bullish","Normal")</f>
        <v>Normal</v>
      </c>
      <c r="AG39" t="str">
        <f>IF(H39&gt;(G39+H39*2),"Bullish","Normal")</f>
        <v>Normal</v>
      </c>
      <c r="AH39" s="61">
        <f>AI39/G39</f>
        <v>-0.26460958514296351</v>
      </c>
      <c r="AI39" s="56">
        <f>H39-G39</f>
        <v>-122279</v>
      </c>
      <c r="AJ39" t="s">
        <v>60</v>
      </c>
    </row>
    <row r="40" spans="5:38" ht="21" customHeight="1" x14ac:dyDescent="0.4">
      <c r="E40" s="80"/>
      <c r="F40" s="43" t="s">
        <v>61</v>
      </c>
      <c r="G40" s="44">
        <f>INDEX($I$7:$I$31,MATCH(G39,$J$7:$J$31,0))</f>
        <v>479929</v>
      </c>
      <c r="H40" s="44">
        <f>INDEX($Q$7:$Q$31,MATCH(H39,$P$7:$P$31,0))</f>
        <v>444352</v>
      </c>
      <c r="I40" s="43"/>
      <c r="J40" t="str">
        <f>IF(G40&gt;(H40+G40*0.2),"Bearish","Normal")</f>
        <v>Normal</v>
      </c>
      <c r="K40" t="str">
        <f>IF(G40&gt;(H40+G40*0.3),"Bearish","Normal")</f>
        <v>Normal</v>
      </c>
      <c r="L40" t="str">
        <f>IF(G40&gt;(H40+G40*0.4),"Bearish","Normal")</f>
        <v>Normal</v>
      </c>
      <c r="M40" t="str">
        <f>IF(G40&gt;(H40+G40*0.5),"Bearish","Normal")</f>
        <v>Normal</v>
      </c>
      <c r="N40" t="str">
        <f>IF(G40&gt;(H40+G40*0.55),"Bearish","Normal")</f>
        <v>Normal</v>
      </c>
      <c r="O40" t="str">
        <f>IF(G40&gt;(H40+G40*0.6),"Bearish","Normal")</f>
        <v>Normal</v>
      </c>
      <c r="P40" t="str">
        <f>IF(G40&gt;(H40+G40*0.65),"Bearish","Normal")</f>
        <v>Normal</v>
      </c>
      <c r="Q40" t="str">
        <f>IF(G40&gt;(H40+G40*0.7),"Bearish","Normal")</f>
        <v>Normal</v>
      </c>
      <c r="R40" t="str">
        <f>IF(G40&gt;(H40+G40*0.8),"Bearish","Normal")</f>
        <v>Normal</v>
      </c>
      <c r="S40" t="str">
        <f>IF(G40&gt;(H40+G40*0.9),"Bearish","Normal")</f>
        <v>Normal</v>
      </c>
      <c r="T40" t="str">
        <f>IF(G40&gt;(H40+G40*0.95),"Bearish","Normal")</f>
        <v>Normal</v>
      </c>
      <c r="U40" t="str">
        <f>IF(G40&gt;(H40+G40*2),"Bearish","Normal")</f>
        <v>Normal</v>
      </c>
      <c r="V40" t="str">
        <f>IF(H40&gt;(G40+H40*0.2),"Bullish","Normal")</f>
        <v>Normal</v>
      </c>
      <c r="W40" t="str">
        <f>IF(H40&gt;(G40+H40*0.3),"Bullish","Normal")</f>
        <v>Normal</v>
      </c>
      <c r="X40" t="str">
        <f>IF(H40&gt;(G40+H40*0.4),"Bullish","Normal")</f>
        <v>Normal</v>
      </c>
      <c r="Y40" t="str">
        <f>IF(H40&gt;(G40+H40*0.5),"Bullish","Normal")</f>
        <v>Normal</v>
      </c>
      <c r="Z40" t="str">
        <f>IF(H40&gt;(G40+H40*0.55),"Bullish","Normal")</f>
        <v>Normal</v>
      </c>
      <c r="AA40" t="str">
        <f>IF(H40&gt;(G40+H40*0.6),"Bullish","Normal")</f>
        <v>Normal</v>
      </c>
      <c r="AB40" t="str">
        <f>IF(H40&gt;(G40+H40*0.65),"Bullish","Normal")</f>
        <v>Normal</v>
      </c>
      <c r="AC40" t="str">
        <f>IF(H40&gt;(G40+H40*0.7),"Bullish","Normal")</f>
        <v>Normal</v>
      </c>
      <c r="AD40" t="str">
        <f>IF(H40&gt;(G40+H40*0.8),"Bullish","Normal")</f>
        <v>Normal</v>
      </c>
      <c r="AE40" t="str">
        <f>IF(H40&gt;(G40+H40*0.9),"Bullish","Normal")</f>
        <v>Normal</v>
      </c>
      <c r="AF40" t="str">
        <f>IF(H40&gt;(G40+H40*0.95),"Bullish","Normal")</f>
        <v>Normal</v>
      </c>
      <c r="AG40" t="str">
        <f>IF(H40&gt;(G40+H40*2),"Bullish","Normal")</f>
        <v>Normal</v>
      </c>
      <c r="AH40" s="61">
        <f>AI40/G40</f>
        <v>-7.4129715020346765E-2</v>
      </c>
      <c r="AI40" s="56">
        <f>H40-G40</f>
        <v>-35577</v>
      </c>
      <c r="AJ40" t="s">
        <v>28</v>
      </c>
    </row>
    <row r="41" spans="5:38" ht="21" customHeight="1" x14ac:dyDescent="0.4">
      <c r="E41" s="80"/>
      <c r="F41" s="43" t="s">
        <v>62</v>
      </c>
      <c r="G41" s="44">
        <f>INDEX($H$7:$H$31,MATCH(G39,$J$7:$J$31,0))</f>
        <v>15422762</v>
      </c>
      <c r="H41" s="44">
        <f>INDEX($R$7:$R$31,MATCH(H39,$P$7:$P$31,0))</f>
        <v>16230574</v>
      </c>
      <c r="I41" s="43"/>
      <c r="J41" t="str">
        <f>IF(G41&gt;(H41+G41*0.2),"Bearish","Normal")</f>
        <v>Normal</v>
      </c>
      <c r="K41" t="str">
        <f>IF(G41&gt;(H41+G41*0.3),"Bearish","Normal")</f>
        <v>Normal</v>
      </c>
      <c r="L41" t="str">
        <f>IF(G41&gt;(H41+G41*0.4),"Bearish","Normal")</f>
        <v>Normal</v>
      </c>
      <c r="M41" t="str">
        <f>IF(G41&gt;(H41+G41*0.5),"Bearish","Normal")</f>
        <v>Normal</v>
      </c>
      <c r="N41" t="str">
        <f>IF(G41&gt;(H41+G41*0.55),"Bearish","Normal")</f>
        <v>Normal</v>
      </c>
      <c r="O41" t="str">
        <f>IF(G41&gt;(H41+G41*0.6),"Bearish","Normal")</f>
        <v>Normal</v>
      </c>
      <c r="P41" t="str">
        <f>IF(G41&gt;(H41+G41*0.65),"Bearish","Normal")</f>
        <v>Normal</v>
      </c>
      <c r="Q41" t="str">
        <f>IF(G41&gt;(H41+G41*0.7),"Bearish","Normal")</f>
        <v>Normal</v>
      </c>
      <c r="R41" t="str">
        <f>IF(G41&gt;(H41+G41*0.8),"Bearish","Normal")</f>
        <v>Normal</v>
      </c>
      <c r="S41" t="str">
        <f>IF(G41&gt;(H41+G41*0.9),"Bearish","Normal")</f>
        <v>Normal</v>
      </c>
      <c r="T41" t="str">
        <f>IF(G41&gt;(H41+G41*0.95),"Bearish","Normal")</f>
        <v>Normal</v>
      </c>
      <c r="U41" t="str">
        <f>IF(G41&gt;(H41+G41*2),"Bearish","Normal")</f>
        <v>Normal</v>
      </c>
      <c r="V41" t="str">
        <f>IF(H41&gt;(G41+H41*0.2),"Bullish","Normal")</f>
        <v>Normal</v>
      </c>
      <c r="W41" t="str">
        <f>IF(H41&gt;(G41+H41*0.3),"Bullish","Normal")</f>
        <v>Normal</v>
      </c>
      <c r="X41" t="str">
        <f>IF(H41&gt;(G41+H41*0.4),"Bullish","Normal")</f>
        <v>Normal</v>
      </c>
      <c r="Y41" t="str">
        <f>IF(H41&gt;(G41+H41*0.5),"Bullish","Normal")</f>
        <v>Normal</v>
      </c>
      <c r="Z41" t="str">
        <f>IF(H41&gt;(G41+H41*0.55),"Bullish","Normal")</f>
        <v>Normal</v>
      </c>
      <c r="AA41" t="str">
        <f>IF(H41&gt;(G41+H41*0.6),"Bullish","Normal")</f>
        <v>Normal</v>
      </c>
      <c r="AB41" t="str">
        <f>IF(H41&gt;(G41+H41*0.65),"Bullish","Normal")</f>
        <v>Normal</v>
      </c>
      <c r="AC41" t="str">
        <f>IF(H41&gt;(G41+H41*0.7),"Bullish","Normal")</f>
        <v>Normal</v>
      </c>
      <c r="AD41" t="str">
        <f>IF(H41&gt;(G41+H41*0.8),"Bullish","Normal")</f>
        <v>Normal</v>
      </c>
      <c r="AE41" t="str">
        <f>IF(H41&gt;(G41+H41*0.9),"Bullish","Normal")</f>
        <v>Normal</v>
      </c>
      <c r="AF41" t="str">
        <f>IF(H41&gt;(G41+H41*0.95),"Bullish","Normal")</f>
        <v>Normal</v>
      </c>
      <c r="AG41" t="str">
        <f>IF(H41&gt;(G41+H41*2),"Bullish","Normal")</f>
        <v>Normal</v>
      </c>
      <c r="AH41" s="61">
        <f>AI41/G41</f>
        <v>5.2377907407246509E-2</v>
      </c>
      <c r="AI41" s="56">
        <f>H41-G41</f>
        <v>807812</v>
      </c>
      <c r="AJ41" t="s">
        <v>27</v>
      </c>
    </row>
    <row r="42" spans="5:38" ht="21" customHeight="1" x14ac:dyDescent="0.4">
      <c r="E42" s="80"/>
      <c r="F42" s="45" t="s">
        <v>63</v>
      </c>
      <c r="G42" s="46" t="str">
        <f>IF(G41&gt;G39,"Strong","Weak")</f>
        <v>Strong</v>
      </c>
      <c r="H42" s="46" t="str">
        <f>IF(H41&gt;H39,"Strong","Weak")</f>
        <v>Strong</v>
      </c>
      <c r="I42" s="47" t="str">
        <f>IF(AND(G42="Weak",H42="Weak"),"Range Bound","Go with Trend")</f>
        <v>Go with Trend</v>
      </c>
      <c r="J42" s="56"/>
      <c r="K42" s="55"/>
      <c r="AH42" s="61"/>
      <c r="AI42" s="56"/>
    </row>
    <row r="43" spans="5:38" ht="21" hidden="1" customHeight="1" x14ac:dyDescent="0.4">
      <c r="L43" s="55"/>
      <c r="AH43" s="61"/>
      <c r="AI43" s="56"/>
    </row>
    <row r="44" spans="5:38" ht="21" hidden="1" customHeight="1" x14ac:dyDescent="0.4">
      <c r="AH44" s="61"/>
      <c r="AI44" s="56"/>
    </row>
    <row r="45" spans="5:38" ht="21" hidden="1" customHeight="1" x14ac:dyDescent="0.4">
      <c r="AH45" s="61"/>
      <c r="AI45" s="56"/>
    </row>
    <row r="46" spans="5:38" ht="21" hidden="1" customHeight="1" x14ac:dyDescent="0.4">
      <c r="AH46" s="61"/>
      <c r="AI46" s="56"/>
    </row>
    <row r="47" spans="5:38" ht="21" customHeight="1" x14ac:dyDescent="0.4">
      <c r="E47" s="79" t="s">
        <v>64</v>
      </c>
      <c r="F47" s="37" t="s">
        <v>65</v>
      </c>
      <c r="G47" s="38" t="s">
        <v>3</v>
      </c>
      <c r="H47" s="38" t="s">
        <v>4</v>
      </c>
      <c r="I47" s="37"/>
      <c r="AH47" s="61"/>
      <c r="AI47" s="56"/>
    </row>
    <row r="48" spans="5:38" ht="21" customHeight="1" x14ac:dyDescent="0.4">
      <c r="E48" s="80"/>
      <c r="F48" s="39" t="s">
        <v>59</v>
      </c>
      <c r="G48" s="40">
        <f>INDEX($M$7:$M$31,MATCH(G49,$I$7:$I$31,0))</f>
        <v>24600</v>
      </c>
      <c r="H48" s="40">
        <f>INDEX($M$7:$M$31,MATCH(H49,$Q$7:$Q$31,0))</f>
        <v>24500</v>
      </c>
      <c r="I48" s="39"/>
      <c r="AH48" s="61"/>
      <c r="AI48" s="56"/>
      <c r="AL48" t="s">
        <v>166</v>
      </c>
    </row>
    <row r="49" spans="5:38" ht="21" customHeight="1" x14ac:dyDescent="0.4">
      <c r="E49" s="80"/>
      <c r="F49" s="48" t="s">
        <v>61</v>
      </c>
      <c r="G49" s="42">
        <f>_xlfn.AGGREGATE(4,6,I7:I31)</f>
        <v>479929</v>
      </c>
      <c r="H49" s="42">
        <f>_xlfn.AGGREGATE(4,6,Q7:Q31)</f>
        <v>444352</v>
      </c>
      <c r="I49" s="21" t="str">
        <f>IF(H49&gt;G49,"Bullish","Bearish")</f>
        <v>Bearish</v>
      </c>
      <c r="J49" t="str">
        <f>IF(G49&gt;(H49+G49*0.2),"Bearish","Normal")</f>
        <v>Normal</v>
      </c>
      <c r="K49" t="str">
        <f>IF(G49&gt;(H49+G49*0.3),"Bearish","Normal")</f>
        <v>Normal</v>
      </c>
      <c r="L49" t="str">
        <f>IF(G49&gt;(H49+G49*0.4),"Bearish","Normal")</f>
        <v>Normal</v>
      </c>
      <c r="M49" t="str">
        <f>IF(G49&gt;(H49+G49*0.5),"Bearish","Normal")</f>
        <v>Normal</v>
      </c>
      <c r="N49" t="str">
        <f>IF(G49&gt;(H49+G49*0.55),"Bearish","Normal")</f>
        <v>Normal</v>
      </c>
      <c r="O49" t="str">
        <f>IF(G49&gt;(H49+G49*0.6),"Bearish","Normal")</f>
        <v>Normal</v>
      </c>
      <c r="P49" t="str">
        <f>IF(G49&gt;(H49+G49*0.65),"Bearish","Normal")</f>
        <v>Normal</v>
      </c>
      <c r="Q49" t="str">
        <f>IF(G49&gt;(H49+G49*0.7),"Bearish","Normal")</f>
        <v>Normal</v>
      </c>
      <c r="R49" t="str">
        <f>IF(G49&gt;(H49+G49*0.8),"Bearish","Normal")</f>
        <v>Normal</v>
      </c>
      <c r="S49" t="str">
        <f>IF(G49&gt;(H49+G49*0.9),"Bearish","Normal")</f>
        <v>Normal</v>
      </c>
      <c r="T49" t="str">
        <f>IF(G49&gt;(H49+G49*0.95),"Bearish","Normal")</f>
        <v>Normal</v>
      </c>
      <c r="U49" t="str">
        <f>IF(G49&gt;(H49+G49*2),"Bearish","Normal")</f>
        <v>Normal</v>
      </c>
      <c r="V49" t="str">
        <f>IF(H49&gt;(G49+H49*0.2),"Bullish","Normal")</f>
        <v>Normal</v>
      </c>
      <c r="W49" t="str">
        <f>IF(H49&gt;(G49+H49*0.3),"Bullish","Normal")</f>
        <v>Normal</v>
      </c>
      <c r="X49" t="str">
        <f>IF(H49&gt;(G49+H49*0.4),"Bullish","Normal")</f>
        <v>Normal</v>
      </c>
      <c r="Y49" t="str">
        <f>IF(H49&gt;(G49+H49*0.5),"Bullish","Normal")</f>
        <v>Normal</v>
      </c>
      <c r="Z49" t="str">
        <f>IF(H49&gt;(G49+H49*0.55),"Bullish","Normal")</f>
        <v>Normal</v>
      </c>
      <c r="AA49" t="str">
        <f>IF(H49&gt;(G49+H49*0.6),"Bullish","Normal")</f>
        <v>Normal</v>
      </c>
      <c r="AB49" t="str">
        <f>IF(H49&gt;(G49+H49*0.65),"Bullish","Normal")</f>
        <v>Normal</v>
      </c>
      <c r="AC49" t="str">
        <f>IF(H49&gt;(G49+H49*0.7),"Bullish","Normal")</f>
        <v>Normal</v>
      </c>
      <c r="AD49" t="str">
        <f>IF(H49&gt;(G49+H49*0.8),"Bullish","Normal")</f>
        <v>Normal</v>
      </c>
      <c r="AE49" t="str">
        <f>IF(H49&gt;(G49+H49*0.9),"Bullish","Normal")</f>
        <v>Normal</v>
      </c>
      <c r="AF49" t="str">
        <f>IF(H49&gt;(G49+H49*0.95),"Bullish","Normal")</f>
        <v>Normal</v>
      </c>
      <c r="AG49" t="str">
        <f>IF(H49&gt;(G49+H49*2),"Bullish","Normal")</f>
        <v>Normal</v>
      </c>
      <c r="AH49" s="61">
        <f>AI49/G49</f>
        <v>-7.4129715020346765E-2</v>
      </c>
      <c r="AI49" s="56">
        <f>H49-G49</f>
        <v>-35577</v>
      </c>
      <c r="AJ49" t="s">
        <v>28</v>
      </c>
    </row>
    <row r="50" spans="5:38" ht="21" customHeight="1" x14ac:dyDescent="0.4">
      <c r="E50" s="80"/>
      <c r="F50" s="49" t="s">
        <v>66</v>
      </c>
      <c r="G50" s="44">
        <f>INDEX($J$7:$J$31,MATCH(G49,$I$7:$I$31,0))</f>
        <v>462111</v>
      </c>
      <c r="H50" s="44">
        <f>INDEX($P$7:$P$31,MATCH(H49,$Q$7:$Q$31,0))</f>
        <v>339832</v>
      </c>
      <c r="I50" s="43"/>
      <c r="J50" t="str">
        <f>IF(G50&gt;(H50+G50*0.2),"Bearish","Normal")</f>
        <v>Bearish</v>
      </c>
      <c r="K50" t="str">
        <f>IF(G50&gt;(H50+G50*0.3),"Bearish","Normal")</f>
        <v>Normal</v>
      </c>
      <c r="L50" t="str">
        <f>IF(G50&gt;(H50+G50*0.4),"Bearish","Normal")</f>
        <v>Normal</v>
      </c>
      <c r="M50" t="str">
        <f>IF(G50&gt;(H50+G50*0.5),"Bearish","Normal")</f>
        <v>Normal</v>
      </c>
      <c r="N50" t="str">
        <f>IF(G50&gt;(H50+G50*0.55),"Bearish","Normal")</f>
        <v>Normal</v>
      </c>
      <c r="O50" t="str">
        <f>IF(G50&gt;(H50+G50*0.6),"Bearish","Normal")</f>
        <v>Normal</v>
      </c>
      <c r="P50" t="str">
        <f>IF(G50&gt;(H50+G50*0.65),"Bearish","Normal")</f>
        <v>Normal</v>
      </c>
      <c r="Q50" t="str">
        <f>IF(G50&gt;(H50+G50*0.7),"Bearish","Normal")</f>
        <v>Normal</v>
      </c>
      <c r="R50" t="str">
        <f>IF(G50&gt;(H50+G50*0.8),"Bearish","Normal")</f>
        <v>Normal</v>
      </c>
      <c r="S50" t="str">
        <f>IF(G50&gt;(H50+G50*0.9),"Bearish","Normal")</f>
        <v>Normal</v>
      </c>
      <c r="T50" t="str">
        <f>IF(G50&gt;(H50+G50*0.95),"Bearish","Normal")</f>
        <v>Normal</v>
      </c>
      <c r="U50" t="str">
        <f>IF(G50&gt;(H50+G50*2),"Bearish","Normal")</f>
        <v>Normal</v>
      </c>
      <c r="V50" t="str">
        <f>IF(H50&gt;(G50+H50*0.2),"Bullish","Normal")</f>
        <v>Normal</v>
      </c>
      <c r="W50" t="str">
        <f>IF(H50&gt;(G50+H50*0.3),"Bullish","Normal")</f>
        <v>Normal</v>
      </c>
      <c r="X50" t="str">
        <f>IF(H50&gt;(G50+H50*0.4),"Bullish","Normal")</f>
        <v>Normal</v>
      </c>
      <c r="Y50" t="str">
        <f>IF(H50&gt;(G50+H50*0.5),"Bullish","Normal")</f>
        <v>Normal</v>
      </c>
      <c r="Z50" t="str">
        <f>IF(H50&gt;(G50+H50*0.55),"Bullish","Normal")</f>
        <v>Normal</v>
      </c>
      <c r="AA50" t="str">
        <f>IF(H50&gt;(G50+H50*0.6),"Bullish","Normal")</f>
        <v>Normal</v>
      </c>
      <c r="AB50" t="str">
        <f>IF(H50&gt;(G50+H50*0.65),"Bullish","Normal")</f>
        <v>Normal</v>
      </c>
      <c r="AC50" t="str">
        <f>IF(H50&gt;(G50+H50*0.7),"Bullish","Normal")</f>
        <v>Normal</v>
      </c>
      <c r="AD50" t="str">
        <f>IF(H50&gt;(G50+H50*0.8),"Bullish","Normal")</f>
        <v>Normal</v>
      </c>
      <c r="AE50" t="str">
        <f>IF(H50&gt;(G50+H50*0.9),"Bullish","Normal")</f>
        <v>Normal</v>
      </c>
      <c r="AF50" t="str">
        <f>IF(H50&gt;(G50+H50*0.95),"Bullish","Normal")</f>
        <v>Normal</v>
      </c>
      <c r="AG50" t="str">
        <f>IF(H50&gt;(G50+H50*2),"Bullish","Normal")</f>
        <v>Normal</v>
      </c>
      <c r="AH50" s="61">
        <f>AI50/G50</f>
        <v>-0.26460958514296351</v>
      </c>
      <c r="AI50" s="56">
        <f>H50-G50</f>
        <v>-122279</v>
      </c>
      <c r="AJ50" t="s">
        <v>60</v>
      </c>
    </row>
    <row r="51" spans="5:38" ht="21" customHeight="1" x14ac:dyDescent="0.4">
      <c r="E51" s="80"/>
      <c r="F51" s="49" t="s">
        <v>62</v>
      </c>
      <c r="G51" s="44">
        <f>INDEX($H$7:$H$31,MATCH(G49,$I$7:$I$31,0))</f>
        <v>15422762</v>
      </c>
      <c r="H51" s="44">
        <f>INDEX($R$7:$R$31,MATCH(H49,$Q$7:$Q$31,0))</f>
        <v>16230574</v>
      </c>
      <c r="I51" s="43"/>
      <c r="J51" t="str">
        <f>IF(G51&gt;(H51+G51*0.2),"Bearish","Normal")</f>
        <v>Normal</v>
      </c>
      <c r="K51" t="str">
        <f>IF(G51&gt;(H51+G51*0.3),"Bearish","Normal")</f>
        <v>Normal</v>
      </c>
      <c r="L51" t="str">
        <f>IF(G51&gt;(H51+G51*0.4),"Bearish","Normal")</f>
        <v>Normal</v>
      </c>
      <c r="M51" t="str">
        <f>IF(G51&gt;(H51+G51*0.5),"Bearish","Normal")</f>
        <v>Normal</v>
      </c>
      <c r="N51" t="str">
        <f>IF(G51&gt;(H51+G51*0.55),"Bearish","Normal")</f>
        <v>Normal</v>
      </c>
      <c r="O51" t="str">
        <f>IF(G51&gt;(H51+G51*0.6),"Bearish","Normal")</f>
        <v>Normal</v>
      </c>
      <c r="P51" t="str">
        <f>IF(G51&gt;(H51+G51*0.65),"Bearish","Normal")</f>
        <v>Normal</v>
      </c>
      <c r="Q51" t="str">
        <f>IF(G51&gt;(H51+G51*0.7),"Bearish","Normal")</f>
        <v>Normal</v>
      </c>
      <c r="R51" t="str">
        <f>IF(G51&gt;(H51+G51*0.8),"Bearish","Normal")</f>
        <v>Normal</v>
      </c>
      <c r="S51" t="str">
        <f>IF(G51&gt;(H51+G51*0.9),"Bearish","Normal")</f>
        <v>Normal</v>
      </c>
      <c r="T51" t="str">
        <f>IF(G51&gt;(H51+G51*0.95),"Bearish","Normal")</f>
        <v>Normal</v>
      </c>
      <c r="U51" t="str">
        <f>IF(G51&gt;(H51+G51*2),"Bearish","Normal")</f>
        <v>Normal</v>
      </c>
      <c r="V51" t="str">
        <f>IF(H51&gt;(G51+H51*0.2),"Bullish","Normal")</f>
        <v>Normal</v>
      </c>
      <c r="W51" t="str">
        <f>IF(H51&gt;(G51+H51*0.3),"Bullish","Normal")</f>
        <v>Normal</v>
      </c>
      <c r="X51" t="str">
        <f>IF(H51&gt;(G51+H51*0.4),"Bullish","Normal")</f>
        <v>Normal</v>
      </c>
      <c r="Y51" t="str">
        <f>IF(H51&gt;(G51+H51*0.5),"Bullish","Normal")</f>
        <v>Normal</v>
      </c>
      <c r="Z51" t="str">
        <f>IF(H51&gt;(G51+H51*0.55),"Bullish","Normal")</f>
        <v>Normal</v>
      </c>
      <c r="AA51" t="str">
        <f>IF(H51&gt;(G51+H51*0.6),"Bullish","Normal")</f>
        <v>Normal</v>
      </c>
      <c r="AB51" t="str">
        <f>IF(H51&gt;(G51+H51*0.65),"Bullish","Normal")</f>
        <v>Normal</v>
      </c>
      <c r="AC51" t="str">
        <f>IF(H51&gt;(G51+H51*0.7),"Bullish","Normal")</f>
        <v>Normal</v>
      </c>
      <c r="AD51" t="str">
        <f>IF(H51&gt;(G51+H51*0.8),"Bullish","Normal")</f>
        <v>Normal</v>
      </c>
      <c r="AE51" t="str">
        <f>IF(H51&gt;(G51+H51*0.9),"Bullish","Normal")</f>
        <v>Normal</v>
      </c>
      <c r="AF51" t="str">
        <f>IF(H51&gt;(G51+H51*0.95),"Bullish","Normal")</f>
        <v>Normal</v>
      </c>
      <c r="AG51" t="str">
        <f>IF(H51&gt;(G51+H51*2),"Bullish","Normal")</f>
        <v>Normal</v>
      </c>
      <c r="AH51" s="61">
        <f>AI51/G51</f>
        <v>5.2377907407246509E-2</v>
      </c>
      <c r="AI51" s="56">
        <f>H51-G51</f>
        <v>807812</v>
      </c>
      <c r="AJ51" t="s">
        <v>27</v>
      </c>
    </row>
    <row r="52" spans="5:38" ht="21" customHeight="1" x14ac:dyDescent="0.4">
      <c r="E52" s="80"/>
      <c r="F52" s="45" t="s">
        <v>63</v>
      </c>
      <c r="G52" s="46" t="str">
        <f>IF(G51&gt;G50,"Strong","Weak")</f>
        <v>Strong</v>
      </c>
      <c r="H52" s="46" t="str">
        <f>IF(H51&gt;H50,"Strong","Weak")</f>
        <v>Strong</v>
      </c>
      <c r="I52" s="47" t="str">
        <f>IF(AND(G52="Weak",H52="Weak"),"Range Bound","Go with Trend")</f>
        <v>Go with Trend</v>
      </c>
      <c r="AH52" s="58"/>
      <c r="AL52" t="s">
        <v>167</v>
      </c>
    </row>
    <row r="53" spans="5:38" x14ac:dyDescent="0.3">
      <c r="H53" s="81" t="s">
        <v>57</v>
      </c>
      <c r="I53" s="59" t="s">
        <v>61</v>
      </c>
      <c r="J53" t="str">
        <f>IF(G40&gt;(H40+G40*0.2),"Bearish","Normal")</f>
        <v>Normal</v>
      </c>
      <c r="K53" t="str">
        <f>IF(G40&gt;(H40+G40*0.3),"Bearish","Normal")</f>
        <v>Normal</v>
      </c>
      <c r="L53" t="str">
        <f>IF(G40&gt;(H40+G40*0.4),"Bearish","Normal")</f>
        <v>Normal</v>
      </c>
      <c r="M53" t="str">
        <f>IF(G40&gt;(H40+G40*0.5),"Bearish","Normal")</f>
        <v>Normal</v>
      </c>
      <c r="N53" t="str">
        <f>IF(G40&gt;(H40+G40*0.55),"Bearish","Normal")</f>
        <v>Normal</v>
      </c>
      <c r="O53" t="str">
        <f>IF(G40&gt;(H40+G40*0.6),"Bearish","Normal")</f>
        <v>Normal</v>
      </c>
      <c r="P53" t="str">
        <f>IF(G40&gt;(H40+G40*0.65),"Bearish","Normal")</f>
        <v>Normal</v>
      </c>
      <c r="Q53" t="str">
        <f>IF(G40&gt;(H40+G40*0.7),"Bearish","Normal")</f>
        <v>Normal</v>
      </c>
      <c r="R53" t="str">
        <f>IF(G40&gt;(H40+G40*0.8),"Bearish","Normal")</f>
        <v>Normal</v>
      </c>
      <c r="S53" t="str">
        <f>IF(G40&gt;(H40+G40*0.9),"Bearish","Normal")</f>
        <v>Normal</v>
      </c>
      <c r="T53" t="str">
        <f>IF(G40&gt;(H40+G40*0.95),"Bearish","Normal")</f>
        <v>Normal</v>
      </c>
      <c r="U53" t="str">
        <f>IF(G40&gt;(H40+G40*2),"Bearish","Normal")</f>
        <v>Normal</v>
      </c>
      <c r="V53" t="str">
        <f>IF(H40&gt;(G40+H40*0.2),"Bullish","Normal")</f>
        <v>Normal</v>
      </c>
      <c r="W53" t="str">
        <f>IF(H40&gt;(G40+H40*0.3),"Bullish","Normal")</f>
        <v>Normal</v>
      </c>
      <c r="X53" t="str">
        <f>IF(H40&gt;(G40+H40*0.4),"Bullish","Normal")</f>
        <v>Normal</v>
      </c>
      <c r="Y53" t="str">
        <f>IF(H40&gt;(G40+H40*0.5),"Bullish","Normal")</f>
        <v>Normal</v>
      </c>
      <c r="Z53" t="str">
        <f>IF(H40&gt;(G40+H40*0.55),"Bullish","Normal")</f>
        <v>Normal</v>
      </c>
      <c r="AA53" t="str">
        <f>IF(H40&gt;(G40+H40*0.6),"Bullish","Normal")</f>
        <v>Normal</v>
      </c>
      <c r="AB53" t="str">
        <f>IF(H40&gt;(G40+H40*0.65),"Bullish","Normal")</f>
        <v>Normal</v>
      </c>
      <c r="AC53" t="str">
        <f>IF(H40&gt;(G40+H40*0.7),"Bullish","Normal")</f>
        <v>Normal</v>
      </c>
      <c r="AD53" t="str">
        <f>IF(H40&gt;(G40+H40*0.8),"Bullish","Normal")</f>
        <v>Normal</v>
      </c>
      <c r="AE53" t="str">
        <f>IF(H40&gt;(G40+H40*0.9),"Bullish","Normal")</f>
        <v>Normal</v>
      </c>
      <c r="AF53" t="str">
        <f>IF(H40&gt;(G40+H40*0.95),"Bullish","Normal")</f>
        <v>Normal</v>
      </c>
      <c r="AG53" t="str">
        <f>IF(H40&gt;(G40+H40*2),"Bullish","Normal")</f>
        <v>Normal</v>
      </c>
    </row>
    <row r="54" spans="5:38" x14ac:dyDescent="0.3">
      <c r="H54" s="82"/>
      <c r="I54" s="60" t="s">
        <v>66</v>
      </c>
      <c r="J54" t="str">
        <f>IF(G39&gt;(H39+G39*0.2),"Bearish","Normal")</f>
        <v>Bearish</v>
      </c>
      <c r="K54" t="str">
        <f>IF(G39&gt;(H39+G39*0.3),"Bearish","Normal")</f>
        <v>Normal</v>
      </c>
      <c r="L54" t="str">
        <f>IF(G39&gt;(H39+G39*0.4),"Bearish","Normal")</f>
        <v>Normal</v>
      </c>
      <c r="M54" t="str">
        <f>IF(G39&gt;(H39+G39*0.5),"Bearish","Normal")</f>
        <v>Normal</v>
      </c>
      <c r="N54" t="str">
        <f>IF(G39&gt;(H39+G39*0.55),"Bearish","Normal")</f>
        <v>Normal</v>
      </c>
      <c r="O54" t="str">
        <f>IF(G39&gt;(H39+G39*0.6),"Bearish","Normal")</f>
        <v>Normal</v>
      </c>
      <c r="P54" t="str">
        <f>IF(G39&gt;(H39+G39*0.65),"Bearish","Normal")</f>
        <v>Normal</v>
      </c>
      <c r="Q54" t="str">
        <f>IF(G39&gt;(H39+G39*0.7),"Bearish","Normal")</f>
        <v>Normal</v>
      </c>
      <c r="R54" t="str">
        <f>IF(G39&gt;(H39+G39*0.8),"Bearish","Normal")</f>
        <v>Normal</v>
      </c>
      <c r="S54" t="str">
        <f>IF(G39&gt;(H39+G39*0.9),"Bearish","Normal")</f>
        <v>Normal</v>
      </c>
      <c r="T54" t="str">
        <f>IF(G39&gt;(H39+G39*0.95),"Bearish","Normal")</f>
        <v>Normal</v>
      </c>
      <c r="U54" t="str">
        <f>IF(G39&gt;(H39+G39*2),"Bearish","Normal")</f>
        <v>Normal</v>
      </c>
      <c r="V54" t="str">
        <f>IF(H39&gt;(G39+H39*0.2),"Bullish","Normal")</f>
        <v>Normal</v>
      </c>
      <c r="W54" t="str">
        <f>IF(H39&gt;(G39+H39*0.3),"Bullish","Normal")</f>
        <v>Normal</v>
      </c>
      <c r="X54" t="str">
        <f>IF(H39&gt;(G39+H39*0.4),"Bullish","Normal")</f>
        <v>Normal</v>
      </c>
      <c r="Y54" t="str">
        <f>IF(H39&gt;(G39+H39*0.5),"Bullish","Normal")</f>
        <v>Normal</v>
      </c>
      <c r="Z54" t="str">
        <f>IF(H39&gt;(G39+H39*0.55),"Bullish","Normal")</f>
        <v>Normal</v>
      </c>
      <c r="AA54" t="str">
        <f>IF(H39&gt;(G39+H39*0.6),"Bullish","Normal")</f>
        <v>Normal</v>
      </c>
      <c r="AB54" t="str">
        <f>IF(H39&gt;(G39+H39*0.65),"Bullish","Normal")</f>
        <v>Normal</v>
      </c>
      <c r="AC54" t="str">
        <f>IF(H39&gt;(G39+H39*0.7),"Bullish","Normal")</f>
        <v>Normal</v>
      </c>
      <c r="AD54" t="str">
        <f>IF(H39&gt;(G39+H39*0.8),"Bullish","Normal")</f>
        <v>Normal</v>
      </c>
      <c r="AE54" t="str">
        <f>IF(H39&gt;(G39+H39*0.9),"Bullish","Normal")</f>
        <v>Normal</v>
      </c>
      <c r="AF54" t="str">
        <f>IF(H39&gt;(G39+H39*0.95),"Bullish","Normal")</f>
        <v>Normal</v>
      </c>
      <c r="AG54" t="str">
        <f>IF(H39&gt;(G39+H39*2),"Bullish","Normal")</f>
        <v>Normal</v>
      </c>
    </row>
    <row r="55" spans="5:38" x14ac:dyDescent="0.3">
      <c r="H55" s="82"/>
      <c r="I55" s="43" t="s">
        <v>62</v>
      </c>
      <c r="J55" t="str">
        <f>IF(G41&gt;(H41+G41*0.2),"Bearish","Normal")</f>
        <v>Normal</v>
      </c>
      <c r="K55" t="str">
        <f>IF(G41&gt;(H41+G41*0.3),"Bearish","Normal")</f>
        <v>Normal</v>
      </c>
      <c r="L55" t="str">
        <f>IF(G41&gt;(H41+G41*0.4),"Bearish","Normal")</f>
        <v>Normal</v>
      </c>
      <c r="M55" t="str">
        <f>IF(G41&gt;(H41+G41*0.5),"Bearish","Normal")</f>
        <v>Normal</v>
      </c>
      <c r="N55" t="str">
        <f>IF(G41&gt;(H41+G41*0.55),"Bearish","Normal")</f>
        <v>Normal</v>
      </c>
      <c r="O55" t="str">
        <f>IF(G41&gt;(H41+G41*0.6),"Bearish","Normal")</f>
        <v>Normal</v>
      </c>
      <c r="P55" t="str">
        <f>IF(G41&gt;(H41+G41*0.65),"Bearish","Normal")</f>
        <v>Normal</v>
      </c>
      <c r="Q55" t="str">
        <f>IF(G41&gt;(H41+G41*0.7),"Bearish","Normal")</f>
        <v>Normal</v>
      </c>
      <c r="R55" t="str">
        <f>IF(G41&gt;(H41+G41*0.8),"Bearish","Normal")</f>
        <v>Normal</v>
      </c>
      <c r="S55" t="str">
        <f>IF(G41&gt;(H41+G41*0.9),"Bearish","Normal")</f>
        <v>Normal</v>
      </c>
      <c r="T55" t="str">
        <f>IF(G41&gt;(H41+G41*0.95),"Bearish","Normal")</f>
        <v>Normal</v>
      </c>
      <c r="U55" t="str">
        <f>IF(G41&gt;(H41+G41*2),"Bearish","Normal")</f>
        <v>Normal</v>
      </c>
      <c r="V55" t="str">
        <f>IF(H41&gt;(G41+H41*0.2),"Bullish","Normal")</f>
        <v>Normal</v>
      </c>
      <c r="W55" t="str">
        <f>IF(H41&gt;(G41+H41*0.3),"Bullish","Normal")</f>
        <v>Normal</v>
      </c>
      <c r="X55" t="str">
        <f>IF(H41&gt;(G41+H41*0.4),"Bullish","Normal")</f>
        <v>Normal</v>
      </c>
      <c r="Y55" t="str">
        <f>IF(H41&gt;(G41+H41*0.5),"Bullish","Normal")</f>
        <v>Normal</v>
      </c>
      <c r="Z55" t="str">
        <f>IF(H41&gt;(G41+H41*0.55),"Bullish","Normal")</f>
        <v>Normal</v>
      </c>
      <c r="AA55" t="str">
        <f>IF(H41&gt;(G41+H41*0.6),"Bullish","Normal")</f>
        <v>Normal</v>
      </c>
      <c r="AB55" t="str">
        <f>IF(H41&gt;(G41+H41*0.65),"Bullish","Normal")</f>
        <v>Normal</v>
      </c>
      <c r="AC55" t="str">
        <f>IF(H41&gt;(G41+H41*0.7),"Bullish","Normal")</f>
        <v>Normal</v>
      </c>
      <c r="AD55" t="str">
        <f>IF(H41&gt;(G41+H41*0.8),"Bullish","Normal")</f>
        <v>Normal</v>
      </c>
      <c r="AE55" t="str">
        <f>IF(H41&gt;(G41+H41*0.9),"Bullish","Normal")</f>
        <v>Normal</v>
      </c>
      <c r="AF55" t="str">
        <f>IF(H41&gt;(G41+H41*0.95),"Bullish","Normal")</f>
        <v>Normal</v>
      </c>
      <c r="AG55" t="str">
        <f>IF(H41&gt;(G41+H41*2),"Bullish","Normal")</f>
        <v>Normal</v>
      </c>
    </row>
    <row r="83" spans="7:23" x14ac:dyDescent="0.3">
      <c r="W83" s="50" t="s">
        <v>67</v>
      </c>
    </row>
    <row r="85" spans="7:23" x14ac:dyDescent="0.3">
      <c r="G85" s="51"/>
    </row>
  </sheetData>
  <mergeCells count="8">
    <mergeCell ref="C1:V1"/>
    <mergeCell ref="E37:E42"/>
    <mergeCell ref="AI29:AN29"/>
    <mergeCell ref="AC29:AH29"/>
    <mergeCell ref="E47:E52"/>
    <mergeCell ref="H53:H55"/>
    <mergeCell ref="D5:L5"/>
    <mergeCell ref="N5:V5"/>
  </mergeCells>
  <conditionalFormatting sqref="F8:G10 S7:T24 S31:T31">
    <cfRule type="containsText" dxfId="87" priority="125" operator="containsText" text="UP">
      <formula>NOT(ISERROR(SEARCH("UP",F7)))</formula>
    </cfRule>
    <cfRule type="containsText" dxfId="86" priority="126" operator="containsText" text="DOWN">
      <formula>NOT(ISERROR(SEARCH("DOWN",F7)))</formula>
    </cfRule>
  </conditionalFormatting>
  <conditionalFormatting sqref="K11:K24 K7 K31">
    <cfRule type="colorScale" priority="131">
      <colorScale>
        <cfvo type="min"/>
        <cfvo type="max"/>
        <color rgb="FFFFEF9C"/>
        <color rgb="FF63BE7B"/>
      </colorScale>
    </cfRule>
  </conditionalFormatting>
  <conditionalFormatting sqref="R11:R31 R7">
    <cfRule type="dataBar" priority="132">
      <dataBar>
        <cfvo type="min"/>
        <cfvo type="max"/>
        <color rgb="FFFF555A"/>
      </dataBar>
    </cfRule>
  </conditionalFormatting>
  <conditionalFormatting sqref="H11:H24 H7 H31">
    <cfRule type="dataBar" priority="133">
      <dataBar>
        <cfvo type="min"/>
        <cfvo type="max"/>
        <color rgb="FFFF555A"/>
      </dataBar>
    </cfRule>
  </conditionalFormatting>
  <conditionalFormatting sqref="D7:D24 D31 V8:V10">
    <cfRule type="containsText" dxfId="85" priority="123" operator="containsText" text="BULLISH">
      <formula>NOT(ISERROR(SEARCH("BULLISH",D7)))</formula>
    </cfRule>
    <cfRule type="containsText" dxfId="84" priority="124" operator="containsText" text="BEARISH">
      <formula>NOT(ISERROR(SEARCH("BEARISH",D7)))</formula>
    </cfRule>
  </conditionalFormatting>
  <conditionalFormatting sqref="C7:C31">
    <cfRule type="containsText" dxfId="83" priority="121" operator="containsText" text="Buy">
      <formula>NOT(ISERROR(SEARCH("Buy",C7)))</formula>
    </cfRule>
    <cfRule type="containsText" dxfId="82" priority="122" operator="containsText" text="Sell">
      <formula>NOT(ISERROR(SEARCH("Sell",C7)))</formula>
    </cfRule>
  </conditionalFormatting>
  <conditionalFormatting sqref="W7:W31">
    <cfRule type="containsText" dxfId="81" priority="119" operator="containsText" text="Buy">
      <formula>NOT(ISERROR(SEARCH("Buy",W7)))</formula>
    </cfRule>
    <cfRule type="containsText" dxfId="80" priority="120" operator="containsText" text="Sell">
      <formula>NOT(ISERROR(SEARCH("Sell",W7)))</formula>
    </cfRule>
  </conditionalFormatting>
  <conditionalFormatting sqref="Y7:Y24 Y31">
    <cfRule type="containsText" dxfId="79" priority="117" operator="containsText" text="Nifty will Decrease">
      <formula>NOT(ISERROR(SEARCH("Nifty will Decrease",Y7)))</formula>
    </cfRule>
    <cfRule type="containsText" dxfId="78" priority="118" operator="containsText" text="Nifty will Increase">
      <formula>NOT(ISERROR(SEARCH("Nifty will Increase",Y7)))</formula>
    </cfRule>
  </conditionalFormatting>
  <conditionalFormatting sqref="Y32">
    <cfRule type="containsText" dxfId="77" priority="115" operator="containsText" text="Nifty will Decrease">
      <formula>NOT(ISERROR(SEARCH("Nifty will Decrease",Y32)))</formula>
    </cfRule>
    <cfRule type="containsText" dxfId="76" priority="116" operator="containsText" text="Nifty will Increase">
      <formula>NOT(ISERROR(SEARCH("Nifty will Increase",Y32)))</formula>
    </cfRule>
  </conditionalFormatting>
  <conditionalFormatting sqref="F7:G7 F11:G24 F31:G31">
    <cfRule type="containsText" dxfId="75" priority="113" operator="containsText" text="UP">
      <formula>NOT(ISERROR(SEARCH("UP",F7)))</formula>
    </cfRule>
    <cfRule type="containsText" dxfId="74" priority="114" operator="containsText" text="DOWN">
      <formula>NOT(ISERROR(SEARCH("DOWN",F7)))</formula>
    </cfRule>
  </conditionalFormatting>
  <conditionalFormatting sqref="E7:E24 E31 U7:U24 U31">
    <cfRule type="containsText" dxfId="73" priority="127" operator="containsText" text="Short Buildup">
      <formula>NOT(ISERROR(SEARCH("Short Buildup",E7)))</formula>
    </cfRule>
    <cfRule type="containsText" dxfId="72" priority="128" operator="containsText" text="Long Liquidation">
      <formula>NOT(ISERROR(SEARCH("Long Liquidation",E7)))</formula>
    </cfRule>
    <cfRule type="containsText" dxfId="71" priority="129" operator="containsText" text="Short covering">
      <formula>NOT(ISERROR(SEARCH("Short covering",E7)))</formula>
    </cfRule>
    <cfRule type="containsText" dxfId="70" priority="130" operator="containsText" text="Long Buildup">
      <formula>NOT(ISERROR(SEARCH("Long Buildup",E7)))</formula>
    </cfRule>
  </conditionalFormatting>
  <conditionalFormatting sqref="V7 V11:V24 V31">
    <cfRule type="containsText" dxfId="69" priority="111" operator="containsText" text="BULLISH">
      <formula>NOT(ISERROR(SEARCH("BULLISH",V7)))</formula>
    </cfRule>
    <cfRule type="containsText" dxfId="68" priority="112" operator="containsText" text="BEARISH">
      <formula>NOT(ISERROR(SEARCH("BEARISH",V7)))</formula>
    </cfRule>
  </conditionalFormatting>
  <conditionalFormatting sqref="S25:T28">
    <cfRule type="containsText" dxfId="67" priority="102" operator="containsText" text="UP">
      <formula>NOT(ISERROR(SEARCH("UP",S25)))</formula>
    </cfRule>
    <cfRule type="containsText" dxfId="66" priority="103" operator="containsText" text="DOWN">
      <formula>NOT(ISERROR(SEARCH("DOWN",S25)))</formula>
    </cfRule>
  </conditionalFormatting>
  <conditionalFormatting sqref="K25:K28">
    <cfRule type="colorScale" priority="108">
      <colorScale>
        <cfvo type="min"/>
        <cfvo type="max"/>
        <color rgb="FFFFEF9C"/>
        <color rgb="FF63BE7B"/>
      </colorScale>
    </cfRule>
  </conditionalFormatting>
  <conditionalFormatting sqref="H25:H28">
    <cfRule type="dataBar" priority="110">
      <dataBar>
        <cfvo type="min"/>
        <cfvo type="max"/>
        <color rgb="FFFF555A"/>
      </dataBar>
    </cfRule>
  </conditionalFormatting>
  <conditionalFormatting sqref="D25:D28">
    <cfRule type="containsText" dxfId="65" priority="100" operator="containsText" text="BULLISH">
      <formula>NOT(ISERROR(SEARCH("BULLISH",D25)))</formula>
    </cfRule>
    <cfRule type="containsText" dxfId="64" priority="101" operator="containsText" text="BEARISH">
      <formula>NOT(ISERROR(SEARCH("BEARISH",D25)))</formula>
    </cfRule>
  </conditionalFormatting>
  <conditionalFormatting sqref="Y25:Y28">
    <cfRule type="containsText" dxfId="63" priority="94" operator="containsText" text="Nifty will Decrease">
      <formula>NOT(ISERROR(SEARCH("Nifty will Decrease",Y25)))</formula>
    </cfRule>
    <cfRule type="containsText" dxfId="62" priority="95" operator="containsText" text="Nifty will Increase">
      <formula>NOT(ISERROR(SEARCH("Nifty will Increase",Y25)))</formula>
    </cfRule>
  </conditionalFormatting>
  <conditionalFormatting sqref="F25:G28">
    <cfRule type="containsText" dxfId="61" priority="92" operator="containsText" text="UP">
      <formula>NOT(ISERROR(SEARCH("UP",F25)))</formula>
    </cfRule>
    <cfRule type="containsText" dxfId="60" priority="93" operator="containsText" text="DOWN">
      <formula>NOT(ISERROR(SEARCH("DOWN",F25)))</formula>
    </cfRule>
  </conditionalFormatting>
  <conditionalFormatting sqref="E25:E28 U25:U28">
    <cfRule type="containsText" dxfId="59" priority="104" operator="containsText" text="Short Buildup">
      <formula>NOT(ISERROR(SEARCH("Short Buildup",E25)))</formula>
    </cfRule>
    <cfRule type="containsText" dxfId="58" priority="105" operator="containsText" text="Long Liquidation">
      <formula>NOT(ISERROR(SEARCH("Long Liquidation",E25)))</formula>
    </cfRule>
    <cfRule type="containsText" dxfId="57" priority="106" operator="containsText" text="Short covering">
      <formula>NOT(ISERROR(SEARCH("Short covering",E25)))</formula>
    </cfRule>
    <cfRule type="containsText" dxfId="56" priority="107" operator="containsText" text="Long Buildup">
      <formula>NOT(ISERROR(SEARCH("Long Buildup",E25)))</formula>
    </cfRule>
  </conditionalFormatting>
  <conditionalFormatting sqref="V25:V28">
    <cfRule type="containsText" dxfId="55" priority="90" operator="containsText" text="BULLISH">
      <formula>NOT(ISERROR(SEARCH("BULLISH",V25)))</formula>
    </cfRule>
    <cfRule type="containsText" dxfId="54" priority="91" operator="containsText" text="BEARISH">
      <formula>NOT(ISERROR(SEARCH("BEARISH",V25)))</formula>
    </cfRule>
  </conditionalFormatting>
  <conditionalFormatting sqref="S29:T30">
    <cfRule type="containsText" dxfId="53" priority="84" operator="containsText" text="UP">
      <formula>NOT(ISERROR(SEARCH("UP",S29)))</formula>
    </cfRule>
    <cfRule type="containsText" dxfId="52" priority="85" operator="containsText" text="DOWN">
      <formula>NOT(ISERROR(SEARCH("DOWN",S29)))</formula>
    </cfRule>
  </conditionalFormatting>
  <conditionalFormatting sqref="D29:D30">
    <cfRule type="containsText" dxfId="51" priority="82" operator="containsText" text="BULLISH">
      <formula>NOT(ISERROR(SEARCH("BULLISH",D29)))</formula>
    </cfRule>
    <cfRule type="containsText" dxfId="50" priority="83" operator="containsText" text="BEARISH">
      <formula>NOT(ISERROR(SEARCH("BEARISH",D29)))</formula>
    </cfRule>
  </conditionalFormatting>
  <conditionalFormatting sqref="Y29:Y30">
    <cfRule type="containsText" dxfId="49" priority="76" operator="containsText" text="Nifty will Decrease">
      <formula>NOT(ISERROR(SEARCH("Nifty will Decrease",Y29)))</formula>
    </cfRule>
    <cfRule type="containsText" dxfId="48" priority="77" operator="containsText" text="Nifty will Increase">
      <formula>NOT(ISERROR(SEARCH("Nifty will Increase",Y29)))</formula>
    </cfRule>
  </conditionalFormatting>
  <conditionalFormatting sqref="F29:G30">
    <cfRule type="containsText" dxfId="47" priority="74" operator="containsText" text="UP">
      <formula>NOT(ISERROR(SEARCH("UP",F29)))</formula>
    </cfRule>
    <cfRule type="containsText" dxfId="46" priority="75" operator="containsText" text="DOWN">
      <formula>NOT(ISERROR(SEARCH("DOWN",F29)))</formula>
    </cfRule>
  </conditionalFormatting>
  <conditionalFormatting sqref="E29:E30 U29:U30">
    <cfRule type="containsText" dxfId="45" priority="86" operator="containsText" text="Short Buildup">
      <formula>NOT(ISERROR(SEARCH("Short Buildup",E29)))</formula>
    </cfRule>
    <cfRule type="containsText" dxfId="44" priority="87" operator="containsText" text="Long Liquidation">
      <formula>NOT(ISERROR(SEARCH("Long Liquidation",E29)))</formula>
    </cfRule>
    <cfRule type="containsText" dxfId="43" priority="88" operator="containsText" text="Short covering">
      <formula>NOT(ISERROR(SEARCH("Short covering",E29)))</formula>
    </cfRule>
    <cfRule type="containsText" dxfId="42" priority="89" operator="containsText" text="Long Buildup">
      <formula>NOT(ISERROR(SEARCH("Long Buildup",E29)))</formula>
    </cfRule>
  </conditionalFormatting>
  <conditionalFormatting sqref="V29:V30">
    <cfRule type="containsText" dxfId="41" priority="72" operator="containsText" text="BULLISH">
      <formula>NOT(ISERROR(SEARCH("BULLISH",V29)))</formula>
    </cfRule>
    <cfRule type="containsText" dxfId="40" priority="73" operator="containsText" text="BEARISH">
      <formula>NOT(ISERROR(SEARCH("BEARISH",V29)))</formula>
    </cfRule>
  </conditionalFormatting>
  <conditionalFormatting sqref="K29:K30">
    <cfRule type="colorScale" priority="134">
      <colorScale>
        <cfvo type="min"/>
        <cfvo type="max"/>
        <color rgb="FFFFEF9C"/>
        <color rgb="FF63BE7B"/>
      </colorScale>
    </cfRule>
  </conditionalFormatting>
  <conditionalFormatting sqref="H29:H30">
    <cfRule type="dataBar" priority="136">
      <dataBar>
        <cfvo type="min"/>
        <cfvo type="max"/>
        <color rgb="FFFF555A"/>
      </dataBar>
    </cfRule>
  </conditionalFormatting>
  <conditionalFormatting sqref="K8:K10">
    <cfRule type="colorScale" priority="137">
      <colorScale>
        <cfvo type="min"/>
        <cfvo type="max"/>
        <color rgb="FFFFEF9C"/>
        <color rgb="FF63BE7B"/>
      </colorScale>
    </cfRule>
  </conditionalFormatting>
  <conditionalFormatting sqref="R8:R10">
    <cfRule type="dataBar" priority="138">
      <dataBar>
        <cfvo type="min"/>
        <cfvo type="max"/>
        <color rgb="FFFF555A"/>
      </dataBar>
    </cfRule>
  </conditionalFormatting>
  <conditionalFormatting sqref="H8:H10">
    <cfRule type="dataBar" priority="139">
      <dataBar>
        <cfvo type="min"/>
        <cfvo type="max"/>
        <color rgb="FFFF555A"/>
      </dataBar>
    </cfRule>
  </conditionalFormatting>
  <conditionalFormatting sqref="I7:I31">
    <cfRule type="top10" dxfId="39" priority="140" rank="1"/>
  </conditionalFormatting>
  <conditionalFormatting sqref="Q7:Q31">
    <cfRule type="top10" dxfId="38" priority="141" rank="1"/>
  </conditionalFormatting>
  <conditionalFormatting sqref="J7:J31">
    <cfRule type="top10" dxfId="37" priority="142" rank="1"/>
  </conditionalFormatting>
  <conditionalFormatting sqref="P7:P31">
    <cfRule type="top10" dxfId="36" priority="143" rank="1"/>
  </conditionalFormatting>
  <conditionalFormatting sqref="O11:O31 O7">
    <cfRule type="colorScale" priority="69">
      <colorScale>
        <cfvo type="min"/>
        <cfvo type="max"/>
        <color rgb="FFFFEF9C"/>
        <color rgb="FF63BE7B"/>
      </colorScale>
    </cfRule>
  </conditionalFormatting>
  <conditionalFormatting sqref="O25:O28">
    <cfRule type="colorScale" priority="68">
      <colorScale>
        <cfvo type="min"/>
        <cfvo type="max"/>
        <color rgb="FFFFEF9C"/>
        <color rgb="FF63BE7B"/>
      </colorScale>
    </cfRule>
  </conditionalFormatting>
  <conditionalFormatting sqref="O29:O30">
    <cfRule type="colorScale" priority="70">
      <colorScale>
        <cfvo type="min"/>
        <cfvo type="max"/>
        <color rgb="FFFFEF9C"/>
        <color rgb="FF63BE7B"/>
      </colorScale>
    </cfRule>
  </conditionalFormatting>
  <conditionalFormatting sqref="O8:O10">
    <cfRule type="colorScale" priority="71">
      <colorScale>
        <cfvo type="min"/>
        <cfvo type="max"/>
        <color rgb="FFFFEF9C"/>
        <color rgb="FF63BE7B"/>
      </colorScale>
    </cfRule>
  </conditionalFormatting>
  <conditionalFormatting sqref="K7:K31">
    <cfRule type="colorScale" priority="6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7:O31">
    <cfRule type="colorScale" priority="6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9">
    <cfRule type="containsText" dxfId="35" priority="64" operator="containsText" text="BULLISH">
      <formula>NOT(ISERROR(SEARCH("BULLISH",I39)))</formula>
    </cfRule>
    <cfRule type="containsText" dxfId="34" priority="65" operator="containsText" text="BEARISH">
      <formula>NOT(ISERROR(SEARCH("BEARISH",I39)))</formula>
    </cfRule>
  </conditionalFormatting>
  <conditionalFormatting sqref="I49">
    <cfRule type="containsText" dxfId="33" priority="62" operator="containsText" text="BULLISH">
      <formula>NOT(ISERROR(SEARCH("BULLISH",I49)))</formula>
    </cfRule>
    <cfRule type="containsText" dxfId="32" priority="63" operator="containsText" text="BEARISH">
      <formula>NOT(ISERROR(SEARCH("BEARISH",I49)))</formula>
    </cfRule>
  </conditionalFormatting>
  <conditionalFormatting sqref="G42:H42">
    <cfRule type="containsText" dxfId="31" priority="60" operator="containsText" text="Strong">
      <formula>NOT(ISERROR(SEARCH("Strong",G42)))</formula>
    </cfRule>
    <cfRule type="containsText" dxfId="30" priority="61" operator="containsText" text="Weak">
      <formula>NOT(ISERROR(SEARCH("Weak",G42)))</formula>
    </cfRule>
  </conditionalFormatting>
  <conditionalFormatting sqref="G52:H52">
    <cfRule type="containsText" dxfId="29" priority="58" operator="containsText" text="Strong">
      <formula>NOT(ISERROR(SEARCH("Strong",G52)))</formula>
    </cfRule>
    <cfRule type="containsText" dxfId="28" priority="59" operator="containsText" text="Weak">
      <formula>NOT(ISERROR(SEARCH("Weak",G52)))</formula>
    </cfRule>
  </conditionalFormatting>
  <conditionalFormatting sqref="J36:U36">
    <cfRule type="containsText" dxfId="27" priority="53" operator="containsText" text="BULLISH">
      <formula>NOT(ISERROR(SEARCH("BULLISH",J36)))</formula>
    </cfRule>
    <cfRule type="containsText" dxfId="26" priority="54" operator="containsText" text="BEARISH">
      <formula>NOT(ISERROR(SEARCH("BEARISH",J36)))</formula>
    </cfRule>
  </conditionalFormatting>
  <conditionalFormatting sqref="J39:U39 J40:R42 J43 J44:R51 M43:R43 S40:U51">
    <cfRule type="containsText" dxfId="25" priority="52" operator="containsText" text="BEARISH">
      <formula>NOT(ISERROR(SEARCH("BEARISH",J39)))</formula>
    </cfRule>
    <cfRule type="containsText" dxfId="24" priority="51" operator="containsText" text="NORMAL">
      <formula>NOT(ISERROR(SEARCH("NORMAL",J39)))</formula>
    </cfRule>
  </conditionalFormatting>
  <conditionalFormatting sqref="V39:AG51">
    <cfRule type="containsText" dxfId="23" priority="49" operator="containsText" text="BULLISH">
      <formula>NOT(ISERROR(SEARCH("BULLISH",V39)))</formula>
    </cfRule>
    <cfRule type="containsText" dxfId="22" priority="50" operator="containsText" text="NORMAL">
      <formula>NOT(ISERROR(SEARCH("NORMAL",V39)))</formula>
    </cfRule>
  </conditionalFormatting>
  <conditionalFormatting sqref="K42">
    <cfRule type="cellIs" dxfId="21" priority="47" operator="greaterThan">
      <formula>0</formula>
    </cfRule>
    <cfRule type="cellIs" dxfId="20" priority="48" operator="lessThan">
      <formula>0</formula>
    </cfRule>
  </conditionalFormatting>
  <conditionalFormatting sqref="J42">
    <cfRule type="cellIs" dxfId="19" priority="41" operator="greaterThan">
      <formula>0</formula>
    </cfRule>
    <cfRule type="cellIs" dxfId="18" priority="42" operator="lessThan">
      <formula>0</formula>
    </cfRule>
  </conditionalFormatting>
  <conditionalFormatting sqref="L43">
    <cfRule type="containsText" dxfId="17" priority="36" operator="containsText" text="BEARISH">
      <formula>NOT(ISERROR(SEARCH("BEARISH",L43)))</formula>
    </cfRule>
    <cfRule type="containsText" dxfId="16" priority="35" operator="containsText" text="NORMAL">
      <formula>NOT(ISERROR(SEARCH("NORMAL",L43)))</formula>
    </cfRule>
    <cfRule type="cellIs" dxfId="15" priority="33" operator="greaterThan">
      <formula>0</formula>
    </cfRule>
    <cfRule type="cellIs" dxfId="14" priority="34" operator="lessThan">
      <formula>0</formula>
    </cfRule>
  </conditionalFormatting>
  <conditionalFormatting sqref="K43">
    <cfRule type="containsText" dxfId="13" priority="32" operator="containsText" text="BEARISH">
      <formula>NOT(ISERROR(SEARCH("BEARISH",K43)))</formula>
    </cfRule>
    <cfRule type="containsText" dxfId="12" priority="31" operator="containsText" text="NORMAL">
      <formula>NOT(ISERROR(SEARCH("NORMAL",K43)))</formula>
    </cfRule>
    <cfRule type="cellIs" dxfId="11" priority="29" operator="greaterThan">
      <formula>0</formula>
    </cfRule>
    <cfRule type="cellIs" dxfId="10" priority="30" operator="lessThan">
      <formula>0</formula>
    </cfRule>
  </conditionalFormatting>
  <conditionalFormatting sqref="AH37">
    <cfRule type="cellIs" dxfId="9" priority="16" operator="lessThan">
      <formula>0</formula>
    </cfRule>
  </conditionalFormatting>
  <conditionalFormatting sqref="J52:U57">
    <cfRule type="containsText" dxfId="8" priority="15" operator="containsText" text="BEARISH">
      <formula>NOT(ISERROR(SEARCH("BEARISH",J52)))</formula>
    </cfRule>
    <cfRule type="containsText" dxfId="7" priority="14" operator="containsText" text="NORMAL">
      <formula>NOT(ISERROR(SEARCH("NORMAL",J52)))</formula>
    </cfRule>
  </conditionalFormatting>
  <conditionalFormatting sqref="V52:AG52 V54:AG57">
    <cfRule type="containsText" dxfId="6" priority="12" operator="containsText" text="BULLISH">
      <formula>NOT(ISERROR(SEARCH("BULLISH",V52)))</formula>
    </cfRule>
    <cfRule type="containsText" dxfId="5" priority="13" operator="containsText" text="NORMAL">
      <formula>NOT(ISERROR(SEARCH("NORMAL",V52)))</formula>
    </cfRule>
  </conditionalFormatting>
  <conditionalFormatting sqref="AH52">
    <cfRule type="cellIs" dxfId="4" priority="11" operator="lessThan">
      <formula>0</formula>
    </cfRule>
  </conditionalFormatting>
  <conditionalFormatting sqref="V53:AG53">
    <cfRule type="containsText" dxfId="3" priority="9" operator="containsText" text="BULLISH">
      <formula>NOT(ISERROR(SEARCH("BULLISH",V53)))</formula>
    </cfRule>
    <cfRule type="containsText" dxfId="2" priority="10" operator="containsText" text="NORMAL">
      <formula>NOT(ISERROR(SEARCH("NORMAL",V53)))</formula>
    </cfRule>
  </conditionalFormatting>
  <conditionalFormatting sqref="AH39:AI51">
    <cfRule type="cellIs" dxfId="1" priority="7" operator="greaterThan">
      <formula>0</formula>
    </cfRule>
    <cfRule type="cellIs" dxfId="0" priority="8" operator="lessThan">
      <formula>0</formula>
    </cfRule>
  </conditionalFormatting>
  <pageMargins left="0.7" right="0.7" top="0.75" bottom="0.75" header="0.3" footer="0.3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Get_Data_From_File">
                <anchor moveWithCells="1" sizeWithCells="1">
                  <from>
                    <xdr:col>2</xdr:col>
                    <xdr:colOff>175260</xdr:colOff>
                    <xdr:row>33</xdr:row>
                    <xdr:rowOff>53340</xdr:rowOff>
                  </from>
                  <to>
                    <xdr:col>3</xdr:col>
                    <xdr:colOff>533400</xdr:colOff>
                    <xdr:row>37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PCRD">
                <anchor moveWithCells="1" sizeWithCells="1">
                  <from>
                    <xdr:col>37</xdr:col>
                    <xdr:colOff>411480</xdr:colOff>
                    <xdr:row>35</xdr:row>
                    <xdr:rowOff>30480</xdr:rowOff>
                  </from>
                  <to>
                    <xdr:col>40</xdr:col>
                    <xdr:colOff>30480</xdr:colOff>
                    <xdr:row>38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B150"/>
  <sheetViews>
    <sheetView showGridLines="0" workbookViewId="0">
      <selection activeCell="C7" sqref="C7:AB156"/>
    </sheetView>
  </sheetViews>
  <sheetFormatPr defaultRowHeight="14.4" x14ac:dyDescent="0.3"/>
  <cols>
    <col min="1" max="1" width="10.88671875" customWidth="1"/>
    <col min="2" max="2" width="12" customWidth="1"/>
    <col min="4" max="4" width="11.44140625" bestFit="1" customWidth="1"/>
    <col min="26" max="26" width="12.44140625" customWidth="1"/>
  </cols>
  <sheetData>
    <row r="1" spans="1:28" x14ac:dyDescent="0.3">
      <c r="A1" s="1" t="str">
        <f>TEXT(AA8,"dd-mmm-yy")</f>
        <v>28-Aug-25</v>
      </c>
      <c r="B1" s="3"/>
      <c r="C1" t="s">
        <v>68</v>
      </c>
    </row>
    <row r="2" spans="1:28" x14ac:dyDescent="0.3">
      <c r="A2" s="1" t="str">
        <f>"Last Update @  "&amp;TEXT(Z8,"HH:MM:SS")</f>
        <v>Last Update @  14:21:02</v>
      </c>
      <c r="B2" s="3"/>
    </row>
    <row r="3" spans="1:28" x14ac:dyDescent="0.3">
      <c r="A3" s="2" t="s">
        <v>69</v>
      </c>
      <c r="B3" s="3"/>
      <c r="C3" t="s">
        <v>70</v>
      </c>
    </row>
    <row r="4" spans="1:28" x14ac:dyDescent="0.3">
      <c r="A4" s="2">
        <f>Y8</f>
        <v>24576.35</v>
      </c>
      <c r="B4" s="3"/>
      <c r="C4" t="s">
        <v>71</v>
      </c>
    </row>
    <row r="5" spans="1:28" x14ac:dyDescent="0.3">
      <c r="A5" s="2">
        <f>ROUND(A4,-2)</f>
        <v>24600</v>
      </c>
      <c r="B5" s="3"/>
      <c r="C5" t="s">
        <v>59</v>
      </c>
    </row>
    <row r="6" spans="1:28" x14ac:dyDescent="0.3">
      <c r="A6" t="str">
        <f>"CE"&amp;N6</f>
        <v>CECE_askqty</v>
      </c>
      <c r="B6" t="str">
        <f>"PE"&amp;N6</f>
        <v>PECE_askqty</v>
      </c>
      <c r="C6" t="s">
        <v>161</v>
      </c>
      <c r="D6" t="s">
        <v>161</v>
      </c>
      <c r="E6" t="s">
        <v>162</v>
      </c>
      <c r="F6" t="s">
        <v>72</v>
      </c>
      <c r="G6" t="s">
        <v>73</v>
      </c>
      <c r="H6" t="s">
        <v>74</v>
      </c>
      <c r="I6" t="s">
        <v>75</v>
      </c>
      <c r="J6" t="s">
        <v>76</v>
      </c>
      <c r="K6" t="s">
        <v>77</v>
      </c>
      <c r="L6" t="s">
        <v>78</v>
      </c>
      <c r="M6" t="s">
        <v>79</v>
      </c>
      <c r="N6" t="s">
        <v>80</v>
      </c>
      <c r="O6" t="s">
        <v>81</v>
      </c>
      <c r="P6" t="s">
        <v>82</v>
      </c>
      <c r="Q6" t="s">
        <v>83</v>
      </c>
      <c r="R6" t="s">
        <v>84</v>
      </c>
      <c r="S6" t="s">
        <v>85</v>
      </c>
      <c r="T6" t="s">
        <v>86</v>
      </c>
      <c r="U6" t="s">
        <v>87</v>
      </c>
      <c r="V6" t="s">
        <v>88</v>
      </c>
      <c r="W6" t="s">
        <v>89</v>
      </c>
      <c r="X6" t="s">
        <v>90</v>
      </c>
      <c r="Y6" t="s">
        <v>91</v>
      </c>
      <c r="Z6" t="s">
        <v>92</v>
      </c>
      <c r="AA6" t="s">
        <v>93</v>
      </c>
      <c r="AB6" t="s">
        <v>94</v>
      </c>
    </row>
    <row r="7" spans="1:28" x14ac:dyDescent="0.3">
      <c r="A7" t="str">
        <f t="shared" ref="A7:A63" si="0">"CE"&amp;N7</f>
        <v>CEStrikeprice</v>
      </c>
      <c r="B7" t="str">
        <f t="shared" ref="B7:B63" si="1">"PE"&amp;N7</f>
        <v>PEStrikeprice</v>
      </c>
      <c r="C7" t="s">
        <v>161</v>
      </c>
      <c r="D7" t="s">
        <v>162</v>
      </c>
      <c r="E7" t="s">
        <v>72</v>
      </c>
      <c r="F7" t="s">
        <v>73</v>
      </c>
      <c r="G7" t="s">
        <v>74</v>
      </c>
      <c r="H7" t="s">
        <v>75</v>
      </c>
      <c r="I7" t="s">
        <v>76</v>
      </c>
      <c r="J7" t="s">
        <v>77</v>
      </c>
      <c r="K7" t="s">
        <v>78</v>
      </c>
      <c r="L7" t="s">
        <v>79</v>
      </c>
      <c r="M7" t="s">
        <v>80</v>
      </c>
      <c r="N7" t="s">
        <v>81</v>
      </c>
      <c r="O7" t="s">
        <v>82</v>
      </c>
      <c r="P7" t="s">
        <v>83</v>
      </c>
      <c r="Q7" t="s">
        <v>84</v>
      </c>
      <c r="R7" t="s">
        <v>85</v>
      </c>
      <c r="S7" t="s">
        <v>86</v>
      </c>
      <c r="T7" t="s">
        <v>87</v>
      </c>
      <c r="U7" t="s">
        <v>88</v>
      </c>
      <c r="V7" t="s">
        <v>89</v>
      </c>
      <c r="W7" t="s">
        <v>90</v>
      </c>
      <c r="X7" t="s">
        <v>91</v>
      </c>
      <c r="Y7" t="s">
        <v>92</v>
      </c>
      <c r="Z7" s="64" t="s">
        <v>93</v>
      </c>
      <c r="AA7" s="75" t="s">
        <v>94</v>
      </c>
      <c r="AB7">
        <v>0</v>
      </c>
    </row>
    <row r="8" spans="1:28" x14ac:dyDescent="0.3">
      <c r="A8" t="str">
        <f t="shared" si="0"/>
        <v>CE22600</v>
      </c>
      <c r="B8" t="str">
        <f t="shared" si="1"/>
        <v>PE22600</v>
      </c>
      <c r="C8" t="s">
        <v>163</v>
      </c>
      <c r="D8">
        <v>42</v>
      </c>
      <c r="E8">
        <v>-35</v>
      </c>
      <c r="F8">
        <v>44</v>
      </c>
      <c r="G8">
        <v>0</v>
      </c>
      <c r="H8">
        <v>1955</v>
      </c>
      <c r="I8">
        <v>-176.19999999999899</v>
      </c>
      <c r="J8">
        <v>75</v>
      </c>
      <c r="K8">
        <v>1978.8</v>
      </c>
      <c r="L8">
        <v>1987.05</v>
      </c>
      <c r="M8">
        <v>75</v>
      </c>
      <c r="N8">
        <v>22600</v>
      </c>
      <c r="O8">
        <v>663000</v>
      </c>
      <c r="P8">
        <v>0.1</v>
      </c>
      <c r="Q8">
        <v>0.15</v>
      </c>
      <c r="R8">
        <v>230775</v>
      </c>
      <c r="S8">
        <v>-0.4</v>
      </c>
      <c r="T8">
        <v>0.1</v>
      </c>
      <c r="U8">
        <v>49.4</v>
      </c>
      <c r="V8">
        <v>221397</v>
      </c>
      <c r="W8">
        <v>-26178</v>
      </c>
      <c r="X8">
        <v>33457</v>
      </c>
      <c r="Y8">
        <v>24576.35</v>
      </c>
      <c r="Z8" s="64">
        <v>45897.597935983795</v>
      </c>
      <c r="AA8" s="75">
        <v>45897</v>
      </c>
    </row>
    <row r="9" spans="1:28" x14ac:dyDescent="0.3">
      <c r="A9" t="str">
        <f t="shared" si="0"/>
        <v>CE22650</v>
      </c>
      <c r="B9" t="str">
        <f t="shared" si="1"/>
        <v>PE22650</v>
      </c>
      <c r="C9" t="s">
        <v>163</v>
      </c>
      <c r="D9">
        <v>2</v>
      </c>
      <c r="E9">
        <v>0</v>
      </c>
      <c r="F9">
        <v>7</v>
      </c>
      <c r="G9">
        <v>0</v>
      </c>
      <c r="H9">
        <v>1901.3</v>
      </c>
      <c r="I9">
        <v>-415.89999999999901</v>
      </c>
      <c r="J9">
        <v>375</v>
      </c>
      <c r="K9">
        <v>1911.8</v>
      </c>
      <c r="L9">
        <v>1944.55</v>
      </c>
      <c r="M9">
        <v>75</v>
      </c>
      <c r="N9">
        <v>22650</v>
      </c>
      <c r="O9">
        <v>285525</v>
      </c>
      <c r="P9">
        <v>0.1</v>
      </c>
      <c r="Q9">
        <v>0.15</v>
      </c>
      <c r="R9">
        <v>60300</v>
      </c>
      <c r="S9">
        <v>-0.35</v>
      </c>
      <c r="T9">
        <v>0.1</v>
      </c>
      <c r="U9">
        <v>50.95</v>
      </c>
      <c r="V9">
        <v>44635</v>
      </c>
      <c r="W9">
        <v>-5101</v>
      </c>
      <c r="X9">
        <v>2495</v>
      </c>
      <c r="Y9">
        <v>24576.35</v>
      </c>
      <c r="Z9" s="64">
        <v>45897.597935983795</v>
      </c>
      <c r="AA9" s="75">
        <v>45897</v>
      </c>
    </row>
    <row r="10" spans="1:28" x14ac:dyDescent="0.3">
      <c r="A10" t="str">
        <f t="shared" si="0"/>
        <v>CE22700</v>
      </c>
      <c r="B10" t="str">
        <f t="shared" si="1"/>
        <v>PE22700</v>
      </c>
      <c r="C10" t="s">
        <v>163</v>
      </c>
      <c r="D10">
        <v>1</v>
      </c>
      <c r="E10">
        <v>0</v>
      </c>
      <c r="F10">
        <v>0</v>
      </c>
      <c r="G10">
        <v>0</v>
      </c>
      <c r="H10">
        <v>0</v>
      </c>
      <c r="I10">
        <v>0</v>
      </c>
      <c r="J10">
        <v>300</v>
      </c>
      <c r="K10">
        <v>1870.8</v>
      </c>
      <c r="L10">
        <v>1898.75</v>
      </c>
      <c r="M10">
        <v>300</v>
      </c>
      <c r="N10">
        <v>22700</v>
      </c>
      <c r="O10">
        <v>468750</v>
      </c>
      <c r="P10">
        <v>0.1</v>
      </c>
      <c r="Q10">
        <v>0.15</v>
      </c>
      <c r="R10">
        <v>200550</v>
      </c>
      <c r="S10">
        <v>-0.25</v>
      </c>
      <c r="T10">
        <v>0.15</v>
      </c>
      <c r="U10">
        <v>48.51</v>
      </c>
      <c r="V10">
        <v>67519</v>
      </c>
      <c r="W10">
        <v>-3281</v>
      </c>
      <c r="X10">
        <v>8123</v>
      </c>
      <c r="Y10">
        <v>24576.35</v>
      </c>
      <c r="Z10" s="64">
        <v>45897.597935983795</v>
      </c>
      <c r="AA10" s="75">
        <v>45897</v>
      </c>
    </row>
    <row r="11" spans="1:28" x14ac:dyDescent="0.3">
      <c r="A11" t="str">
        <f t="shared" si="0"/>
        <v>CE22750</v>
      </c>
      <c r="B11" t="str">
        <f t="shared" si="1"/>
        <v>PE22750</v>
      </c>
      <c r="C11" t="s">
        <v>163</v>
      </c>
      <c r="D11">
        <v>2</v>
      </c>
      <c r="E11">
        <v>0</v>
      </c>
      <c r="F11">
        <v>0</v>
      </c>
      <c r="G11">
        <v>0</v>
      </c>
      <c r="H11">
        <v>0</v>
      </c>
      <c r="I11">
        <v>0</v>
      </c>
      <c r="J11">
        <v>300</v>
      </c>
      <c r="K11">
        <v>1820.25</v>
      </c>
      <c r="L11">
        <v>1848.35</v>
      </c>
      <c r="M11">
        <v>300</v>
      </c>
      <c r="N11">
        <v>22750</v>
      </c>
      <c r="O11">
        <v>219000</v>
      </c>
      <c r="P11">
        <v>0.1</v>
      </c>
      <c r="Q11">
        <v>0.15</v>
      </c>
      <c r="R11">
        <v>446550</v>
      </c>
      <c r="S11">
        <v>-0.3</v>
      </c>
      <c r="T11">
        <v>0.1</v>
      </c>
      <c r="U11">
        <v>45.77</v>
      </c>
      <c r="V11">
        <v>86247</v>
      </c>
      <c r="W11">
        <v>-87</v>
      </c>
      <c r="X11">
        <v>12360</v>
      </c>
      <c r="Y11">
        <v>24576.35</v>
      </c>
      <c r="Z11" s="64">
        <v>45897.597935983795</v>
      </c>
      <c r="AA11" s="75">
        <v>45897</v>
      </c>
    </row>
    <row r="12" spans="1:28" x14ac:dyDescent="0.3">
      <c r="A12" t="str">
        <f t="shared" si="0"/>
        <v>CE22800</v>
      </c>
      <c r="B12" t="str">
        <f t="shared" si="1"/>
        <v>PE22800</v>
      </c>
      <c r="C12" t="s">
        <v>163</v>
      </c>
      <c r="D12">
        <v>935</v>
      </c>
      <c r="E12">
        <v>-415</v>
      </c>
      <c r="F12">
        <v>874</v>
      </c>
      <c r="G12">
        <v>0</v>
      </c>
      <c r="H12">
        <v>1778.8</v>
      </c>
      <c r="I12">
        <v>-153.75</v>
      </c>
      <c r="J12">
        <v>75</v>
      </c>
      <c r="K12">
        <v>1780.9</v>
      </c>
      <c r="L12">
        <v>1782.7</v>
      </c>
      <c r="M12">
        <v>75</v>
      </c>
      <c r="N12">
        <v>22800</v>
      </c>
      <c r="O12">
        <v>365250</v>
      </c>
      <c r="P12">
        <v>0.1</v>
      </c>
      <c r="Q12">
        <v>0.15</v>
      </c>
      <c r="R12">
        <v>127050</v>
      </c>
      <c r="S12">
        <v>-0.5</v>
      </c>
      <c r="T12">
        <v>0.15</v>
      </c>
      <c r="U12">
        <v>47.14</v>
      </c>
      <c r="V12">
        <v>64832</v>
      </c>
      <c r="W12">
        <v>-2151</v>
      </c>
      <c r="X12">
        <v>8685</v>
      </c>
      <c r="Y12">
        <v>24576.35</v>
      </c>
      <c r="Z12" s="64">
        <v>45897.597935983795</v>
      </c>
      <c r="AA12" s="75">
        <v>45897</v>
      </c>
    </row>
    <row r="13" spans="1:28" x14ac:dyDescent="0.3">
      <c r="A13" t="str">
        <f t="shared" si="0"/>
        <v>CE22850</v>
      </c>
      <c r="B13" t="str">
        <f t="shared" si="1"/>
        <v>PE22850</v>
      </c>
      <c r="C13" t="s">
        <v>163</v>
      </c>
      <c r="D13">
        <v>3</v>
      </c>
      <c r="E13">
        <v>0</v>
      </c>
      <c r="F13">
        <v>0</v>
      </c>
      <c r="G13">
        <v>0</v>
      </c>
      <c r="H13">
        <v>0</v>
      </c>
      <c r="I13">
        <v>0</v>
      </c>
      <c r="J13">
        <v>300</v>
      </c>
      <c r="K13">
        <v>1719.7</v>
      </c>
      <c r="L13">
        <v>1749.15</v>
      </c>
      <c r="M13">
        <v>300</v>
      </c>
      <c r="N13">
        <v>22850</v>
      </c>
      <c r="O13">
        <v>112125</v>
      </c>
      <c r="P13">
        <v>0.2</v>
      </c>
      <c r="Q13">
        <v>0.25</v>
      </c>
      <c r="R13">
        <v>23025</v>
      </c>
      <c r="S13">
        <v>-0.44999999999999901</v>
      </c>
      <c r="T13">
        <v>0.25</v>
      </c>
      <c r="U13">
        <v>47.53</v>
      </c>
      <c r="V13">
        <v>27449</v>
      </c>
      <c r="W13">
        <v>1465</v>
      </c>
      <c r="X13">
        <v>2155</v>
      </c>
      <c r="Y13">
        <v>24576.35</v>
      </c>
      <c r="Z13" s="64">
        <v>45897.597935983795</v>
      </c>
      <c r="AA13" s="75">
        <v>45897</v>
      </c>
    </row>
    <row r="14" spans="1:28" x14ac:dyDescent="0.3">
      <c r="A14" t="str">
        <f t="shared" si="0"/>
        <v>CE22900</v>
      </c>
      <c r="B14" t="str">
        <f t="shared" si="1"/>
        <v>PE22900</v>
      </c>
      <c r="C14" t="s">
        <v>163</v>
      </c>
      <c r="D14">
        <v>9</v>
      </c>
      <c r="E14">
        <v>0</v>
      </c>
      <c r="F14">
        <v>1</v>
      </c>
      <c r="G14">
        <v>88.5</v>
      </c>
      <c r="H14">
        <v>1700.5</v>
      </c>
      <c r="I14">
        <v>-357.69999999999902</v>
      </c>
      <c r="J14">
        <v>75</v>
      </c>
      <c r="K14">
        <v>1673.2</v>
      </c>
      <c r="L14">
        <v>1691.4</v>
      </c>
      <c r="M14">
        <v>225</v>
      </c>
      <c r="N14">
        <v>22900</v>
      </c>
      <c r="O14">
        <v>142350</v>
      </c>
      <c r="P14">
        <v>0.15</v>
      </c>
      <c r="Q14">
        <v>0.2</v>
      </c>
      <c r="R14">
        <v>58425</v>
      </c>
      <c r="S14">
        <v>-0.54999999999999905</v>
      </c>
      <c r="T14">
        <v>0.15</v>
      </c>
      <c r="U14">
        <v>45.47</v>
      </c>
      <c r="V14">
        <v>50213</v>
      </c>
      <c r="W14">
        <v>273</v>
      </c>
      <c r="X14">
        <v>2577</v>
      </c>
      <c r="Y14">
        <v>24576.35</v>
      </c>
      <c r="Z14" s="64">
        <v>45897.597935983795</v>
      </c>
      <c r="AA14" s="75">
        <v>45897</v>
      </c>
    </row>
    <row r="15" spans="1:28" x14ac:dyDescent="0.3">
      <c r="A15" t="str">
        <f t="shared" si="0"/>
        <v>CE22950</v>
      </c>
      <c r="B15" t="str">
        <f t="shared" si="1"/>
        <v>PE22950</v>
      </c>
      <c r="C15" t="s">
        <v>163</v>
      </c>
      <c r="D15">
        <v>5</v>
      </c>
      <c r="E15">
        <v>0</v>
      </c>
      <c r="F15">
        <v>0</v>
      </c>
      <c r="G15">
        <v>0</v>
      </c>
      <c r="H15">
        <v>0</v>
      </c>
      <c r="I15">
        <v>0</v>
      </c>
      <c r="J15">
        <v>300</v>
      </c>
      <c r="K15">
        <v>1618.45</v>
      </c>
      <c r="L15">
        <v>1645.45</v>
      </c>
      <c r="M15">
        <v>300</v>
      </c>
      <c r="N15">
        <v>22950</v>
      </c>
      <c r="O15">
        <v>33600</v>
      </c>
      <c r="P15">
        <v>0.2</v>
      </c>
      <c r="Q15">
        <v>0.25</v>
      </c>
      <c r="R15">
        <v>54000</v>
      </c>
      <c r="S15">
        <v>-0.5</v>
      </c>
      <c r="T15">
        <v>0.25</v>
      </c>
      <c r="U15">
        <v>44.18</v>
      </c>
      <c r="V15">
        <v>23729</v>
      </c>
      <c r="W15">
        <v>1425</v>
      </c>
      <c r="X15">
        <v>2215</v>
      </c>
      <c r="Y15">
        <v>24576.35</v>
      </c>
      <c r="Z15" s="64">
        <v>45897.597935983795</v>
      </c>
      <c r="AA15" s="75">
        <v>45897</v>
      </c>
    </row>
    <row r="16" spans="1:28" x14ac:dyDescent="0.3">
      <c r="A16" t="str">
        <f t="shared" si="0"/>
        <v>CE23000</v>
      </c>
      <c r="B16" t="str">
        <f t="shared" si="1"/>
        <v>PE23000</v>
      </c>
      <c r="C16" t="s">
        <v>163</v>
      </c>
      <c r="D16">
        <v>2683</v>
      </c>
      <c r="E16">
        <v>-1485</v>
      </c>
      <c r="F16">
        <v>2813</v>
      </c>
      <c r="G16">
        <v>0</v>
      </c>
      <c r="H16">
        <v>1581.65</v>
      </c>
      <c r="I16">
        <v>-153.94999999999899</v>
      </c>
      <c r="J16">
        <v>225</v>
      </c>
      <c r="K16">
        <v>1581.85</v>
      </c>
      <c r="L16">
        <v>1582.25</v>
      </c>
      <c r="M16">
        <v>75</v>
      </c>
      <c r="N16">
        <v>23000</v>
      </c>
      <c r="O16">
        <v>692550</v>
      </c>
      <c r="P16">
        <v>0.15</v>
      </c>
      <c r="Q16">
        <v>0.2</v>
      </c>
      <c r="R16">
        <v>215400</v>
      </c>
      <c r="S16">
        <v>-0.5</v>
      </c>
      <c r="T16">
        <v>0.15</v>
      </c>
      <c r="U16">
        <v>43.6</v>
      </c>
      <c r="V16">
        <v>229037</v>
      </c>
      <c r="W16">
        <v>-1447</v>
      </c>
      <c r="X16">
        <v>23552</v>
      </c>
      <c r="Y16">
        <v>24576.35</v>
      </c>
      <c r="Z16" s="64">
        <v>45897.597935983795</v>
      </c>
      <c r="AA16" s="75">
        <v>45897</v>
      </c>
    </row>
    <row r="17" spans="1:27" x14ac:dyDescent="0.3">
      <c r="A17" t="str">
        <f t="shared" si="0"/>
        <v>CE23050</v>
      </c>
      <c r="B17" t="str">
        <f t="shared" si="1"/>
        <v>PE23050</v>
      </c>
      <c r="C17" t="s">
        <v>163</v>
      </c>
      <c r="D17">
        <v>5</v>
      </c>
      <c r="E17">
        <v>0</v>
      </c>
      <c r="F17">
        <v>1</v>
      </c>
      <c r="G17">
        <v>81.349999999999994</v>
      </c>
      <c r="H17">
        <v>1549.45</v>
      </c>
      <c r="I17">
        <v>-131.94999999999999</v>
      </c>
      <c r="J17">
        <v>75</v>
      </c>
      <c r="K17">
        <v>1519.85</v>
      </c>
      <c r="L17">
        <v>1538.2</v>
      </c>
      <c r="M17">
        <v>300</v>
      </c>
      <c r="N17">
        <v>23050</v>
      </c>
      <c r="O17">
        <v>62250</v>
      </c>
      <c r="P17">
        <v>0.2</v>
      </c>
      <c r="Q17">
        <v>0.25</v>
      </c>
      <c r="R17">
        <v>45600</v>
      </c>
      <c r="S17">
        <v>-0.44999999999999901</v>
      </c>
      <c r="T17">
        <v>0.25</v>
      </c>
      <c r="U17">
        <v>42.29</v>
      </c>
      <c r="V17">
        <v>34254</v>
      </c>
      <c r="W17">
        <v>1787</v>
      </c>
      <c r="X17">
        <v>2622</v>
      </c>
      <c r="Y17">
        <v>24576.35</v>
      </c>
      <c r="Z17" s="64">
        <v>45897.597935983795</v>
      </c>
      <c r="AA17" s="75">
        <v>45897</v>
      </c>
    </row>
    <row r="18" spans="1:27" x14ac:dyDescent="0.3">
      <c r="A18" t="str">
        <f t="shared" si="0"/>
        <v>CE23100</v>
      </c>
      <c r="B18" t="str">
        <f t="shared" si="1"/>
        <v>PE23100</v>
      </c>
      <c r="C18" t="s">
        <v>163</v>
      </c>
      <c r="D18">
        <v>28</v>
      </c>
      <c r="E18">
        <v>-2</v>
      </c>
      <c r="F18">
        <v>6</v>
      </c>
      <c r="G18">
        <v>0</v>
      </c>
      <c r="H18">
        <v>1454.05</v>
      </c>
      <c r="I18">
        <v>-235.54999999999899</v>
      </c>
      <c r="J18">
        <v>75</v>
      </c>
      <c r="K18">
        <v>1478.25</v>
      </c>
      <c r="L18">
        <v>1488.4</v>
      </c>
      <c r="M18">
        <v>75</v>
      </c>
      <c r="N18">
        <v>23100</v>
      </c>
      <c r="O18">
        <v>94125</v>
      </c>
      <c r="P18">
        <v>0.25</v>
      </c>
      <c r="Q18">
        <v>0.3</v>
      </c>
      <c r="R18">
        <v>156600</v>
      </c>
      <c r="S18">
        <v>-0.45</v>
      </c>
      <c r="T18">
        <v>0.3</v>
      </c>
      <c r="U18">
        <v>40.98</v>
      </c>
      <c r="V18">
        <v>58391</v>
      </c>
      <c r="W18">
        <v>4550</v>
      </c>
      <c r="X18">
        <v>7836</v>
      </c>
      <c r="Y18">
        <v>24576.35</v>
      </c>
      <c r="Z18" s="64">
        <v>45897.597935983795</v>
      </c>
      <c r="AA18" s="75">
        <v>45897</v>
      </c>
    </row>
    <row r="19" spans="1:27" x14ac:dyDescent="0.3">
      <c r="A19" t="str">
        <f t="shared" si="0"/>
        <v>CE23150</v>
      </c>
      <c r="B19" t="str">
        <f t="shared" si="1"/>
        <v>PE23150</v>
      </c>
      <c r="C19" t="s">
        <v>163</v>
      </c>
      <c r="D19">
        <v>11</v>
      </c>
      <c r="E19">
        <v>-1</v>
      </c>
      <c r="F19">
        <v>2</v>
      </c>
      <c r="G19">
        <v>74.23</v>
      </c>
      <c r="H19">
        <v>1445</v>
      </c>
      <c r="I19">
        <v>-125.15</v>
      </c>
      <c r="J19">
        <v>75</v>
      </c>
      <c r="K19">
        <v>1422.25</v>
      </c>
      <c r="L19">
        <v>1437.65</v>
      </c>
      <c r="M19">
        <v>450</v>
      </c>
      <c r="N19">
        <v>23150</v>
      </c>
      <c r="O19">
        <v>73500</v>
      </c>
      <c r="P19">
        <v>0.2</v>
      </c>
      <c r="Q19">
        <v>0.25</v>
      </c>
      <c r="R19">
        <v>49650</v>
      </c>
      <c r="S19">
        <v>-0.5</v>
      </c>
      <c r="T19">
        <v>0.25</v>
      </c>
      <c r="U19">
        <v>40.25</v>
      </c>
      <c r="V19">
        <v>37769</v>
      </c>
      <c r="W19">
        <v>1561</v>
      </c>
      <c r="X19">
        <v>2394</v>
      </c>
      <c r="Y19">
        <v>24576.35</v>
      </c>
      <c r="Z19" s="64">
        <v>45897.597935983795</v>
      </c>
      <c r="AA19" s="75">
        <v>45897</v>
      </c>
    </row>
    <row r="20" spans="1:27" x14ac:dyDescent="0.3">
      <c r="A20" t="str">
        <f t="shared" si="0"/>
        <v>CE23200</v>
      </c>
      <c r="B20" t="str">
        <f t="shared" si="1"/>
        <v>PE23200</v>
      </c>
      <c r="C20" t="s">
        <v>163</v>
      </c>
      <c r="D20">
        <v>35</v>
      </c>
      <c r="E20">
        <v>-1</v>
      </c>
      <c r="F20">
        <v>11</v>
      </c>
      <c r="G20">
        <v>68.45</v>
      </c>
      <c r="H20">
        <v>1377</v>
      </c>
      <c r="I20">
        <v>-153</v>
      </c>
      <c r="J20">
        <v>150</v>
      </c>
      <c r="K20">
        <v>1379.2</v>
      </c>
      <c r="L20">
        <v>1386.9</v>
      </c>
      <c r="M20">
        <v>150</v>
      </c>
      <c r="N20">
        <v>23200</v>
      </c>
      <c r="O20">
        <v>259500</v>
      </c>
      <c r="P20">
        <v>0.2</v>
      </c>
      <c r="Q20">
        <v>0.25</v>
      </c>
      <c r="R20">
        <v>167775</v>
      </c>
      <c r="S20">
        <v>-0.44999999999999901</v>
      </c>
      <c r="T20">
        <v>0.25</v>
      </c>
      <c r="U20">
        <v>38.36</v>
      </c>
      <c r="V20">
        <v>96416</v>
      </c>
      <c r="W20">
        <v>-156</v>
      </c>
      <c r="X20">
        <v>11469</v>
      </c>
      <c r="Y20">
        <v>24576.35</v>
      </c>
      <c r="Z20" s="64">
        <v>45897.597935983795</v>
      </c>
      <c r="AA20" s="75">
        <v>45897</v>
      </c>
    </row>
    <row r="21" spans="1:27" x14ac:dyDescent="0.3">
      <c r="A21" t="str">
        <f t="shared" si="0"/>
        <v>CE23250</v>
      </c>
      <c r="B21" t="str">
        <f t="shared" si="1"/>
        <v>PE23250</v>
      </c>
      <c r="C21" t="s">
        <v>163</v>
      </c>
      <c r="D21">
        <v>6</v>
      </c>
      <c r="E21">
        <v>0</v>
      </c>
      <c r="F21">
        <v>0</v>
      </c>
      <c r="G21">
        <v>0</v>
      </c>
      <c r="H21">
        <v>0</v>
      </c>
      <c r="I21">
        <v>0</v>
      </c>
      <c r="J21">
        <v>300</v>
      </c>
      <c r="K21">
        <v>1323.85</v>
      </c>
      <c r="L21">
        <v>1342.25</v>
      </c>
      <c r="M21">
        <v>300</v>
      </c>
      <c r="N21">
        <v>23250</v>
      </c>
      <c r="O21">
        <v>75075</v>
      </c>
      <c r="P21">
        <v>0.2</v>
      </c>
      <c r="Q21">
        <v>0.25</v>
      </c>
      <c r="R21">
        <v>39450</v>
      </c>
      <c r="S21">
        <v>-0.7</v>
      </c>
      <c r="T21">
        <v>0.2</v>
      </c>
      <c r="U21">
        <v>37.6</v>
      </c>
      <c r="V21">
        <v>55940</v>
      </c>
      <c r="W21">
        <v>249</v>
      </c>
      <c r="X21">
        <v>2442</v>
      </c>
      <c r="Y21">
        <v>24576.35</v>
      </c>
      <c r="Z21" s="64">
        <v>45897.597935983795</v>
      </c>
      <c r="AA21" s="75">
        <v>45897</v>
      </c>
    </row>
    <row r="22" spans="1:27" x14ac:dyDescent="0.3">
      <c r="A22" t="str">
        <f t="shared" si="0"/>
        <v>CE23300</v>
      </c>
      <c r="B22" t="str">
        <f t="shared" si="1"/>
        <v>PE23300</v>
      </c>
      <c r="C22" t="s">
        <v>163</v>
      </c>
      <c r="D22">
        <v>34</v>
      </c>
      <c r="E22">
        <v>-14</v>
      </c>
      <c r="F22">
        <v>33</v>
      </c>
      <c r="G22">
        <v>99.09</v>
      </c>
      <c r="H22">
        <v>1368.65</v>
      </c>
      <c r="I22">
        <v>-67.849999999999895</v>
      </c>
      <c r="J22">
        <v>75</v>
      </c>
      <c r="K22">
        <v>1281.05</v>
      </c>
      <c r="L22">
        <v>1286.25</v>
      </c>
      <c r="M22">
        <v>150</v>
      </c>
      <c r="N22">
        <v>23300</v>
      </c>
      <c r="O22">
        <v>192450</v>
      </c>
      <c r="P22">
        <v>0.3</v>
      </c>
      <c r="Q22">
        <v>0.35</v>
      </c>
      <c r="R22">
        <v>137025</v>
      </c>
      <c r="S22">
        <v>-0.5</v>
      </c>
      <c r="T22">
        <v>0.35</v>
      </c>
      <c r="U22">
        <v>36.74</v>
      </c>
      <c r="V22">
        <v>109531</v>
      </c>
      <c r="W22">
        <v>5935</v>
      </c>
      <c r="X22">
        <v>11935</v>
      </c>
      <c r="Y22">
        <v>24576.35</v>
      </c>
      <c r="Z22" s="64">
        <v>45897.597935983795</v>
      </c>
      <c r="AA22" s="75">
        <v>45897</v>
      </c>
    </row>
    <row r="23" spans="1:27" x14ac:dyDescent="0.3">
      <c r="A23" t="str">
        <f t="shared" si="0"/>
        <v>CE23350</v>
      </c>
      <c r="B23" t="str">
        <f t="shared" si="1"/>
        <v>PE23350</v>
      </c>
      <c r="C23" t="s">
        <v>163</v>
      </c>
      <c r="D23">
        <v>32</v>
      </c>
      <c r="E23">
        <v>0</v>
      </c>
      <c r="F23">
        <v>0</v>
      </c>
      <c r="G23">
        <v>0</v>
      </c>
      <c r="H23">
        <v>0</v>
      </c>
      <c r="I23">
        <v>0</v>
      </c>
      <c r="J23">
        <v>300</v>
      </c>
      <c r="K23">
        <v>1222.6500000000001</v>
      </c>
      <c r="L23">
        <v>1241.5</v>
      </c>
      <c r="M23">
        <v>300</v>
      </c>
      <c r="N23">
        <v>23350</v>
      </c>
      <c r="O23">
        <v>73500</v>
      </c>
      <c r="P23">
        <v>0.25</v>
      </c>
      <c r="Q23">
        <v>0.3</v>
      </c>
      <c r="R23">
        <v>52875</v>
      </c>
      <c r="S23">
        <v>-0.55000000000000004</v>
      </c>
      <c r="T23">
        <v>0.25</v>
      </c>
      <c r="U23">
        <v>34.94</v>
      </c>
      <c r="V23">
        <v>54321</v>
      </c>
      <c r="W23">
        <v>1001</v>
      </c>
      <c r="X23">
        <v>2665</v>
      </c>
      <c r="Y23">
        <v>24576.35</v>
      </c>
      <c r="Z23" s="64">
        <v>45897.597935983795</v>
      </c>
      <c r="AA23" s="75">
        <v>45897</v>
      </c>
    </row>
    <row r="24" spans="1:27" x14ac:dyDescent="0.3">
      <c r="A24" t="str">
        <f t="shared" si="0"/>
        <v>CE23400</v>
      </c>
      <c r="B24" t="str">
        <f t="shared" si="1"/>
        <v>PE23400</v>
      </c>
      <c r="C24" t="s">
        <v>163</v>
      </c>
      <c r="D24">
        <v>51</v>
      </c>
      <c r="E24">
        <v>-9</v>
      </c>
      <c r="F24">
        <v>18</v>
      </c>
      <c r="G24">
        <v>88.73</v>
      </c>
      <c r="H24">
        <v>1254</v>
      </c>
      <c r="I24">
        <v>-110.049999999999</v>
      </c>
      <c r="J24">
        <v>300</v>
      </c>
      <c r="K24">
        <v>1177.4000000000001</v>
      </c>
      <c r="L24">
        <v>1184.5</v>
      </c>
      <c r="M24">
        <v>150</v>
      </c>
      <c r="N24">
        <v>23400</v>
      </c>
      <c r="O24">
        <v>462000</v>
      </c>
      <c r="P24">
        <v>0.2</v>
      </c>
      <c r="Q24">
        <v>0.25</v>
      </c>
      <c r="R24">
        <v>368175</v>
      </c>
      <c r="S24">
        <v>-0.55000000000000004</v>
      </c>
      <c r="T24">
        <v>0.25</v>
      </c>
      <c r="U24">
        <v>33.61</v>
      </c>
      <c r="V24">
        <v>215292</v>
      </c>
      <c r="W24">
        <v>15408</v>
      </c>
      <c r="X24">
        <v>20475</v>
      </c>
      <c r="Y24">
        <v>24576.35</v>
      </c>
      <c r="Z24" s="64">
        <v>45897.597935983795</v>
      </c>
      <c r="AA24" s="75">
        <v>45897</v>
      </c>
    </row>
    <row r="25" spans="1:27" x14ac:dyDescent="0.3">
      <c r="A25" t="str">
        <f t="shared" si="0"/>
        <v>CE23450</v>
      </c>
      <c r="B25" t="str">
        <f t="shared" si="1"/>
        <v>PE23450</v>
      </c>
      <c r="C25" t="s">
        <v>163</v>
      </c>
      <c r="D25">
        <v>41</v>
      </c>
      <c r="E25">
        <v>3</v>
      </c>
      <c r="F25">
        <v>33</v>
      </c>
      <c r="G25">
        <v>58.75</v>
      </c>
      <c r="H25">
        <v>1140.6500000000001</v>
      </c>
      <c r="I25">
        <v>-194.5</v>
      </c>
      <c r="J25">
        <v>225</v>
      </c>
      <c r="K25">
        <v>1129.7</v>
      </c>
      <c r="L25">
        <v>1135.8</v>
      </c>
      <c r="M25">
        <v>150</v>
      </c>
      <c r="N25">
        <v>23450</v>
      </c>
      <c r="O25">
        <v>112350</v>
      </c>
      <c r="P25">
        <v>0.2</v>
      </c>
      <c r="Q25">
        <v>0.25</v>
      </c>
      <c r="R25">
        <v>73950</v>
      </c>
      <c r="S25">
        <v>-0.7</v>
      </c>
      <c r="T25">
        <v>0.25</v>
      </c>
      <c r="U25">
        <v>32.71</v>
      </c>
      <c r="V25">
        <v>85788</v>
      </c>
      <c r="W25">
        <v>1698</v>
      </c>
      <c r="X25">
        <v>3989</v>
      </c>
      <c r="Y25">
        <v>24576.35</v>
      </c>
      <c r="Z25" s="64">
        <v>45897.597935983795</v>
      </c>
      <c r="AA25" s="75">
        <v>45897</v>
      </c>
    </row>
    <row r="26" spans="1:27" x14ac:dyDescent="0.3">
      <c r="A26" t="str">
        <f t="shared" si="0"/>
        <v>CE23500</v>
      </c>
      <c r="B26" t="str">
        <f t="shared" si="1"/>
        <v>PE23500</v>
      </c>
      <c r="C26" t="s">
        <v>163</v>
      </c>
      <c r="D26">
        <v>2550</v>
      </c>
      <c r="E26">
        <v>-544</v>
      </c>
      <c r="F26">
        <v>1889</v>
      </c>
      <c r="G26">
        <v>0</v>
      </c>
      <c r="H26">
        <v>1084.1500000000001</v>
      </c>
      <c r="I26">
        <v>-151.79999999999899</v>
      </c>
      <c r="J26">
        <v>75</v>
      </c>
      <c r="K26">
        <v>1082.4000000000001</v>
      </c>
      <c r="L26">
        <v>1084.5</v>
      </c>
      <c r="M26">
        <v>75</v>
      </c>
      <c r="N26">
        <v>23500</v>
      </c>
      <c r="O26">
        <v>941175</v>
      </c>
      <c r="P26">
        <v>0.2</v>
      </c>
      <c r="Q26">
        <v>0.25</v>
      </c>
      <c r="R26">
        <v>1101450</v>
      </c>
      <c r="S26">
        <v>-0.75</v>
      </c>
      <c r="T26">
        <v>0.2</v>
      </c>
      <c r="U26">
        <v>30.94</v>
      </c>
      <c r="V26">
        <v>636953</v>
      </c>
      <c r="W26">
        <v>55118</v>
      </c>
      <c r="X26">
        <v>89213</v>
      </c>
      <c r="Y26">
        <v>24576.35</v>
      </c>
      <c r="Z26" s="64">
        <v>45897.597935983795</v>
      </c>
      <c r="AA26" s="75">
        <v>45897</v>
      </c>
    </row>
    <row r="27" spans="1:27" x14ac:dyDescent="0.3">
      <c r="A27" t="str">
        <f t="shared" si="0"/>
        <v>CE23550</v>
      </c>
      <c r="B27" t="str">
        <f t="shared" si="1"/>
        <v>PE23550</v>
      </c>
      <c r="C27" t="s">
        <v>163</v>
      </c>
      <c r="D27">
        <v>19</v>
      </c>
      <c r="E27">
        <v>0</v>
      </c>
      <c r="F27">
        <v>18</v>
      </c>
      <c r="G27">
        <v>0</v>
      </c>
      <c r="H27">
        <v>1006.65</v>
      </c>
      <c r="I27">
        <v>-183.35</v>
      </c>
      <c r="J27">
        <v>75</v>
      </c>
      <c r="K27">
        <v>1030.4000000000001</v>
      </c>
      <c r="L27">
        <v>1044.4000000000001</v>
      </c>
      <c r="M27">
        <v>300</v>
      </c>
      <c r="N27">
        <v>23550</v>
      </c>
      <c r="O27">
        <v>139875</v>
      </c>
      <c r="P27">
        <v>0.3</v>
      </c>
      <c r="Q27">
        <v>0.35</v>
      </c>
      <c r="R27">
        <v>81825</v>
      </c>
      <c r="S27">
        <v>-0.64999999999999902</v>
      </c>
      <c r="T27">
        <v>0.3</v>
      </c>
      <c r="U27">
        <v>30.37</v>
      </c>
      <c r="V27">
        <v>114109</v>
      </c>
      <c r="W27">
        <v>3613</v>
      </c>
      <c r="X27">
        <v>6314</v>
      </c>
      <c r="Y27">
        <v>24576.35</v>
      </c>
      <c r="Z27" s="64">
        <v>45897.597935983795</v>
      </c>
      <c r="AA27" s="75">
        <v>45897</v>
      </c>
    </row>
    <row r="28" spans="1:27" x14ac:dyDescent="0.3">
      <c r="A28" t="str">
        <f t="shared" si="0"/>
        <v>CE23600</v>
      </c>
      <c r="B28" t="str">
        <f t="shared" si="1"/>
        <v>PE23600</v>
      </c>
      <c r="C28" t="s">
        <v>163</v>
      </c>
      <c r="D28">
        <v>63</v>
      </c>
      <c r="E28">
        <v>-25</v>
      </c>
      <c r="F28">
        <v>124</v>
      </c>
      <c r="G28">
        <v>0</v>
      </c>
      <c r="H28">
        <v>953.6</v>
      </c>
      <c r="I28">
        <v>-168.6</v>
      </c>
      <c r="J28">
        <v>75</v>
      </c>
      <c r="K28">
        <v>982.35</v>
      </c>
      <c r="L28">
        <v>988.05</v>
      </c>
      <c r="M28">
        <v>75</v>
      </c>
      <c r="N28">
        <v>23600</v>
      </c>
      <c r="O28">
        <v>558900</v>
      </c>
      <c r="P28">
        <v>0.25</v>
      </c>
      <c r="Q28">
        <v>0.3</v>
      </c>
      <c r="R28">
        <v>372000</v>
      </c>
      <c r="S28">
        <v>-0.7</v>
      </c>
      <c r="T28">
        <v>0.3</v>
      </c>
      <c r="U28">
        <v>28.65</v>
      </c>
      <c r="V28">
        <v>275839</v>
      </c>
      <c r="W28">
        <v>18277</v>
      </c>
      <c r="X28">
        <v>27393</v>
      </c>
      <c r="Y28">
        <v>24576.35</v>
      </c>
      <c r="Z28" s="64">
        <v>45897.597935983795</v>
      </c>
      <c r="AA28" s="75">
        <v>45897</v>
      </c>
    </row>
    <row r="29" spans="1:27" x14ac:dyDescent="0.3">
      <c r="A29" t="str">
        <f t="shared" si="0"/>
        <v>CE23650</v>
      </c>
      <c r="B29" t="str">
        <f t="shared" si="1"/>
        <v>PE23650</v>
      </c>
      <c r="C29" t="s">
        <v>163</v>
      </c>
      <c r="D29">
        <v>43</v>
      </c>
      <c r="E29">
        <v>-1</v>
      </c>
      <c r="F29">
        <v>6</v>
      </c>
      <c r="G29">
        <v>84.22</v>
      </c>
      <c r="H29">
        <v>1033.45</v>
      </c>
      <c r="I29">
        <v>-56.549999999999898</v>
      </c>
      <c r="J29">
        <v>150</v>
      </c>
      <c r="K29">
        <v>924.95</v>
      </c>
      <c r="L29">
        <v>934.95</v>
      </c>
      <c r="M29">
        <v>75</v>
      </c>
      <c r="N29">
        <v>23650</v>
      </c>
      <c r="O29">
        <v>84900</v>
      </c>
      <c r="P29">
        <v>0.35</v>
      </c>
      <c r="Q29">
        <v>0.4</v>
      </c>
      <c r="R29">
        <v>140100</v>
      </c>
      <c r="S29">
        <v>-0.54999999999999905</v>
      </c>
      <c r="T29">
        <v>0.4</v>
      </c>
      <c r="U29">
        <v>27.63</v>
      </c>
      <c r="V29">
        <v>160613</v>
      </c>
      <c r="W29">
        <v>6815</v>
      </c>
      <c r="X29">
        <v>11835</v>
      </c>
      <c r="Y29">
        <v>24576.35</v>
      </c>
      <c r="Z29" s="64">
        <v>45897.597935983795</v>
      </c>
      <c r="AA29" s="75">
        <v>45897</v>
      </c>
    </row>
    <row r="30" spans="1:27" x14ac:dyDescent="0.3">
      <c r="A30" t="str">
        <f t="shared" si="0"/>
        <v>CE23700</v>
      </c>
      <c r="B30" t="str">
        <f t="shared" si="1"/>
        <v>PE23700</v>
      </c>
      <c r="C30" t="s">
        <v>163</v>
      </c>
      <c r="D30">
        <v>67</v>
      </c>
      <c r="E30">
        <v>-31</v>
      </c>
      <c r="F30">
        <v>71</v>
      </c>
      <c r="G30">
        <v>0</v>
      </c>
      <c r="H30">
        <v>852</v>
      </c>
      <c r="I30">
        <v>-178.2</v>
      </c>
      <c r="J30">
        <v>75</v>
      </c>
      <c r="K30">
        <v>881</v>
      </c>
      <c r="L30">
        <v>885.15</v>
      </c>
      <c r="M30">
        <v>75</v>
      </c>
      <c r="N30">
        <v>23700</v>
      </c>
      <c r="O30">
        <v>293175</v>
      </c>
      <c r="P30">
        <v>0.35</v>
      </c>
      <c r="Q30">
        <v>0.4</v>
      </c>
      <c r="R30">
        <v>425250</v>
      </c>
      <c r="S30">
        <v>-0.7</v>
      </c>
      <c r="T30">
        <v>0.35</v>
      </c>
      <c r="U30">
        <v>26.56</v>
      </c>
      <c r="V30">
        <v>392084</v>
      </c>
      <c r="W30">
        <v>15021</v>
      </c>
      <c r="X30">
        <v>36355</v>
      </c>
      <c r="Y30">
        <v>24576.35</v>
      </c>
      <c r="Z30" s="64">
        <v>45897.597935983795</v>
      </c>
      <c r="AA30" s="75">
        <v>45897</v>
      </c>
    </row>
    <row r="31" spans="1:27" x14ac:dyDescent="0.3">
      <c r="A31" t="str">
        <f t="shared" si="0"/>
        <v>CE23750</v>
      </c>
      <c r="B31" t="str">
        <f t="shared" si="1"/>
        <v>PE23750</v>
      </c>
      <c r="C31" t="s">
        <v>163</v>
      </c>
      <c r="D31">
        <v>40</v>
      </c>
      <c r="E31">
        <v>0</v>
      </c>
      <c r="F31">
        <v>30</v>
      </c>
      <c r="G31">
        <v>0</v>
      </c>
      <c r="H31">
        <v>832</v>
      </c>
      <c r="I31">
        <v>-157.79999999999899</v>
      </c>
      <c r="J31">
        <v>75</v>
      </c>
      <c r="K31">
        <v>832.4</v>
      </c>
      <c r="L31">
        <v>834.95</v>
      </c>
      <c r="M31">
        <v>75</v>
      </c>
      <c r="N31">
        <v>23750</v>
      </c>
      <c r="O31">
        <v>259650</v>
      </c>
      <c r="P31">
        <v>0.35</v>
      </c>
      <c r="Q31">
        <v>0.4</v>
      </c>
      <c r="R31">
        <v>231450</v>
      </c>
      <c r="S31">
        <v>-0.79999999999999905</v>
      </c>
      <c r="T31">
        <v>0.4</v>
      </c>
      <c r="U31">
        <v>25.16</v>
      </c>
      <c r="V31">
        <v>292308</v>
      </c>
      <c r="W31">
        <v>11058</v>
      </c>
      <c r="X31">
        <v>17184</v>
      </c>
      <c r="Y31">
        <v>24576.35</v>
      </c>
      <c r="Z31" s="64">
        <v>45897.597935983795</v>
      </c>
      <c r="AA31" s="75">
        <v>45897</v>
      </c>
    </row>
    <row r="32" spans="1:27" x14ac:dyDescent="0.3">
      <c r="A32" t="str">
        <f t="shared" si="0"/>
        <v>CE23800</v>
      </c>
      <c r="B32" t="str">
        <f t="shared" si="1"/>
        <v>PE23800</v>
      </c>
      <c r="C32" t="s">
        <v>163</v>
      </c>
      <c r="D32">
        <v>119</v>
      </c>
      <c r="E32">
        <v>-42</v>
      </c>
      <c r="F32">
        <v>177</v>
      </c>
      <c r="G32">
        <v>0</v>
      </c>
      <c r="H32">
        <v>776.9</v>
      </c>
      <c r="I32">
        <v>-165.8</v>
      </c>
      <c r="J32">
        <v>75</v>
      </c>
      <c r="K32">
        <v>781.75</v>
      </c>
      <c r="L32">
        <v>784.65</v>
      </c>
      <c r="M32">
        <v>75</v>
      </c>
      <c r="N32">
        <v>23800</v>
      </c>
      <c r="O32">
        <v>671025</v>
      </c>
      <c r="P32">
        <v>0.35</v>
      </c>
      <c r="Q32">
        <v>0.4</v>
      </c>
      <c r="R32">
        <v>634650</v>
      </c>
      <c r="S32">
        <v>-0.95</v>
      </c>
      <c r="T32">
        <v>0.4</v>
      </c>
      <c r="U32">
        <v>23.77</v>
      </c>
      <c r="V32">
        <v>707235</v>
      </c>
      <c r="W32">
        <v>31461</v>
      </c>
      <c r="X32">
        <v>84235</v>
      </c>
      <c r="Y32">
        <v>24576.35</v>
      </c>
      <c r="Z32" s="64">
        <v>45897.597935983795</v>
      </c>
      <c r="AA32" s="75">
        <v>45897</v>
      </c>
    </row>
    <row r="33" spans="1:27" x14ac:dyDescent="0.3">
      <c r="A33" t="str">
        <f t="shared" si="0"/>
        <v>CE23850</v>
      </c>
      <c r="B33" t="str">
        <f t="shared" si="1"/>
        <v>PE23850</v>
      </c>
      <c r="C33" t="s">
        <v>163</v>
      </c>
      <c r="D33">
        <v>67</v>
      </c>
      <c r="E33">
        <v>22</v>
      </c>
      <c r="F33">
        <v>83</v>
      </c>
      <c r="G33">
        <v>0</v>
      </c>
      <c r="H33">
        <v>697.8</v>
      </c>
      <c r="I33">
        <v>-185.8</v>
      </c>
      <c r="J33">
        <v>75</v>
      </c>
      <c r="K33">
        <v>732.6</v>
      </c>
      <c r="L33">
        <v>735.85</v>
      </c>
      <c r="M33">
        <v>375</v>
      </c>
      <c r="N33">
        <v>23850</v>
      </c>
      <c r="O33">
        <v>304050</v>
      </c>
      <c r="P33">
        <v>0.4</v>
      </c>
      <c r="Q33">
        <v>0.45</v>
      </c>
      <c r="R33">
        <v>224025</v>
      </c>
      <c r="S33">
        <v>-1.2</v>
      </c>
      <c r="T33">
        <v>0.4</v>
      </c>
      <c r="U33">
        <v>22.84</v>
      </c>
      <c r="V33">
        <v>375051</v>
      </c>
      <c r="W33">
        <v>11636</v>
      </c>
      <c r="X33">
        <v>27394</v>
      </c>
      <c r="Y33">
        <v>24576.35</v>
      </c>
      <c r="Z33" s="64">
        <v>45897.597935983795</v>
      </c>
      <c r="AA33" s="75">
        <v>45897</v>
      </c>
    </row>
    <row r="34" spans="1:27" x14ac:dyDescent="0.3">
      <c r="A34" t="str">
        <f t="shared" si="0"/>
        <v>CE23900</v>
      </c>
      <c r="B34" t="str">
        <f t="shared" si="1"/>
        <v>PE23900</v>
      </c>
      <c r="C34" t="s">
        <v>163</v>
      </c>
      <c r="D34">
        <v>118</v>
      </c>
      <c r="E34">
        <v>-26</v>
      </c>
      <c r="F34">
        <v>109</v>
      </c>
      <c r="G34">
        <v>0</v>
      </c>
      <c r="H34">
        <v>644</v>
      </c>
      <c r="I34">
        <v>-183.39999999999901</v>
      </c>
      <c r="J34">
        <v>75</v>
      </c>
      <c r="K34">
        <v>681.25</v>
      </c>
      <c r="L34">
        <v>686</v>
      </c>
      <c r="M34">
        <v>150</v>
      </c>
      <c r="N34">
        <v>23900</v>
      </c>
      <c r="O34">
        <v>410175</v>
      </c>
      <c r="P34">
        <v>0.4</v>
      </c>
      <c r="Q34">
        <v>0.45</v>
      </c>
      <c r="R34">
        <v>516300</v>
      </c>
      <c r="S34">
        <v>-1.1000000000000001</v>
      </c>
      <c r="T34">
        <v>0.45</v>
      </c>
      <c r="U34">
        <v>21.41</v>
      </c>
      <c r="V34">
        <v>570261</v>
      </c>
      <c r="W34">
        <v>31383</v>
      </c>
      <c r="X34">
        <v>61889</v>
      </c>
      <c r="Y34">
        <v>24576.35</v>
      </c>
      <c r="Z34" s="64">
        <v>45897.597935983795</v>
      </c>
      <c r="AA34" s="75">
        <v>45897</v>
      </c>
    </row>
    <row r="35" spans="1:27" x14ac:dyDescent="0.3">
      <c r="A35" t="str">
        <f t="shared" si="0"/>
        <v>CE23950</v>
      </c>
      <c r="B35" t="str">
        <f t="shared" si="1"/>
        <v>PE23950</v>
      </c>
      <c r="C35" t="s">
        <v>163</v>
      </c>
      <c r="D35">
        <v>44</v>
      </c>
      <c r="E35">
        <v>5</v>
      </c>
      <c r="F35">
        <v>75</v>
      </c>
      <c r="G35">
        <v>0</v>
      </c>
      <c r="H35">
        <v>632.35</v>
      </c>
      <c r="I35">
        <v>-149.6</v>
      </c>
      <c r="J35">
        <v>75</v>
      </c>
      <c r="K35">
        <v>631.95000000000005</v>
      </c>
      <c r="L35">
        <v>634.1</v>
      </c>
      <c r="M35">
        <v>75</v>
      </c>
      <c r="N35">
        <v>23950</v>
      </c>
      <c r="O35">
        <v>557175</v>
      </c>
      <c r="P35">
        <v>0.35</v>
      </c>
      <c r="Q35">
        <v>0.4</v>
      </c>
      <c r="R35">
        <v>201150</v>
      </c>
      <c r="S35">
        <v>-1.25</v>
      </c>
      <c r="T35">
        <v>0.4</v>
      </c>
      <c r="U35">
        <v>19.97</v>
      </c>
      <c r="V35">
        <v>409204</v>
      </c>
      <c r="W35">
        <v>8848</v>
      </c>
      <c r="X35">
        <v>17795</v>
      </c>
      <c r="Y35">
        <v>24576.35</v>
      </c>
      <c r="Z35" s="64">
        <v>45897.597935983795</v>
      </c>
      <c r="AA35" s="75">
        <v>45897</v>
      </c>
    </row>
    <row r="36" spans="1:27" x14ac:dyDescent="0.3">
      <c r="A36" t="str">
        <f t="shared" si="0"/>
        <v>CE24000</v>
      </c>
      <c r="B36" t="str">
        <f t="shared" si="1"/>
        <v>PE24000</v>
      </c>
      <c r="C36" t="s">
        <v>163</v>
      </c>
      <c r="D36">
        <v>4090</v>
      </c>
      <c r="E36">
        <v>-672</v>
      </c>
      <c r="F36">
        <v>10216</v>
      </c>
      <c r="G36">
        <v>0</v>
      </c>
      <c r="H36">
        <v>584</v>
      </c>
      <c r="I36">
        <v>-156</v>
      </c>
      <c r="J36">
        <v>75</v>
      </c>
      <c r="K36">
        <v>582.85</v>
      </c>
      <c r="L36">
        <v>584.35</v>
      </c>
      <c r="M36">
        <v>75</v>
      </c>
      <c r="N36">
        <v>24000</v>
      </c>
      <c r="O36">
        <v>1251225</v>
      </c>
      <c r="P36">
        <v>0.35</v>
      </c>
      <c r="Q36">
        <v>0.4</v>
      </c>
      <c r="R36">
        <v>1337100</v>
      </c>
      <c r="S36">
        <v>-1.65</v>
      </c>
      <c r="T36">
        <v>0.4</v>
      </c>
      <c r="U36">
        <v>18.52</v>
      </c>
      <c r="V36">
        <v>1466902</v>
      </c>
      <c r="W36">
        <v>44154</v>
      </c>
      <c r="X36">
        <v>170370</v>
      </c>
      <c r="Y36">
        <v>24576.35</v>
      </c>
      <c r="Z36" s="64">
        <v>45897.597935983795</v>
      </c>
      <c r="AA36" s="75">
        <v>45897</v>
      </c>
    </row>
    <row r="37" spans="1:27" x14ac:dyDescent="0.3">
      <c r="A37" t="str">
        <f t="shared" si="0"/>
        <v>CE24050</v>
      </c>
      <c r="B37" t="str">
        <f t="shared" si="1"/>
        <v>PE24050</v>
      </c>
      <c r="C37" t="s">
        <v>163</v>
      </c>
      <c r="D37">
        <v>125</v>
      </c>
      <c r="E37">
        <v>40</v>
      </c>
      <c r="F37">
        <v>272</v>
      </c>
      <c r="G37">
        <v>0</v>
      </c>
      <c r="H37">
        <v>523</v>
      </c>
      <c r="I37">
        <v>-165.14999999999901</v>
      </c>
      <c r="J37">
        <v>75</v>
      </c>
      <c r="K37">
        <v>532.29999999999995</v>
      </c>
      <c r="L37">
        <v>534.95000000000005</v>
      </c>
      <c r="M37">
        <v>75</v>
      </c>
      <c r="N37">
        <v>24050</v>
      </c>
      <c r="O37">
        <v>662850</v>
      </c>
      <c r="P37">
        <v>0.4</v>
      </c>
      <c r="Q37">
        <v>0.45</v>
      </c>
      <c r="R37">
        <v>282450</v>
      </c>
      <c r="S37">
        <v>-1.7</v>
      </c>
      <c r="T37">
        <v>0.45</v>
      </c>
      <c r="U37">
        <v>17.239999999999998</v>
      </c>
      <c r="V37">
        <v>628733</v>
      </c>
      <c r="W37">
        <v>28987</v>
      </c>
      <c r="X37">
        <v>35505</v>
      </c>
      <c r="Y37">
        <v>24576.35</v>
      </c>
      <c r="Z37" s="64">
        <v>45897.597935983795</v>
      </c>
      <c r="AA37" s="75">
        <v>45897</v>
      </c>
    </row>
    <row r="38" spans="1:27" x14ac:dyDescent="0.3">
      <c r="A38" t="str">
        <f t="shared" si="0"/>
        <v>CE24100</v>
      </c>
      <c r="B38" t="str">
        <f t="shared" si="1"/>
        <v>PE24100</v>
      </c>
      <c r="C38" t="s">
        <v>163</v>
      </c>
      <c r="D38">
        <v>423</v>
      </c>
      <c r="E38">
        <v>71</v>
      </c>
      <c r="F38">
        <v>2618</v>
      </c>
      <c r="G38">
        <v>0</v>
      </c>
      <c r="H38">
        <v>484.55</v>
      </c>
      <c r="I38">
        <v>-158.849999999999</v>
      </c>
      <c r="J38">
        <v>150</v>
      </c>
      <c r="K38">
        <v>482.75</v>
      </c>
      <c r="L38">
        <v>484.15</v>
      </c>
      <c r="M38">
        <v>300</v>
      </c>
      <c r="N38">
        <v>24100</v>
      </c>
      <c r="O38">
        <v>1238325</v>
      </c>
      <c r="P38">
        <v>0.4</v>
      </c>
      <c r="Q38">
        <v>0.45</v>
      </c>
      <c r="R38">
        <v>615525</v>
      </c>
      <c r="S38">
        <v>-1.9</v>
      </c>
      <c r="T38">
        <v>0.45</v>
      </c>
      <c r="U38">
        <v>15.76</v>
      </c>
      <c r="V38">
        <v>1290355</v>
      </c>
      <c r="W38">
        <v>45826</v>
      </c>
      <c r="X38">
        <v>81086</v>
      </c>
      <c r="Y38">
        <v>24576.35</v>
      </c>
      <c r="Z38" s="64">
        <v>45897.597935983795</v>
      </c>
      <c r="AA38" s="75">
        <v>45897</v>
      </c>
    </row>
    <row r="39" spans="1:27" x14ac:dyDescent="0.3">
      <c r="A39" t="str">
        <f t="shared" si="0"/>
        <v>CE24150</v>
      </c>
      <c r="B39" t="str">
        <f t="shared" si="1"/>
        <v>PE24150</v>
      </c>
      <c r="C39" t="s">
        <v>163</v>
      </c>
      <c r="D39">
        <v>287</v>
      </c>
      <c r="E39">
        <v>148</v>
      </c>
      <c r="F39">
        <v>1202</v>
      </c>
      <c r="G39">
        <v>0</v>
      </c>
      <c r="H39">
        <v>431.1</v>
      </c>
      <c r="I39">
        <v>-153.44999999999899</v>
      </c>
      <c r="J39">
        <v>375</v>
      </c>
      <c r="K39">
        <v>432.5</v>
      </c>
      <c r="L39">
        <v>434.05</v>
      </c>
      <c r="M39">
        <v>300</v>
      </c>
      <c r="N39">
        <v>24150</v>
      </c>
      <c r="O39">
        <v>471150</v>
      </c>
      <c r="P39">
        <v>0.4</v>
      </c>
      <c r="Q39">
        <v>0.45</v>
      </c>
      <c r="R39">
        <v>559350</v>
      </c>
      <c r="S39">
        <v>-2.2999999999999998</v>
      </c>
      <c r="T39">
        <v>0.4</v>
      </c>
      <c r="U39">
        <v>14.41</v>
      </c>
      <c r="V39">
        <v>801464</v>
      </c>
      <c r="W39">
        <v>23112</v>
      </c>
      <c r="X39">
        <v>33763</v>
      </c>
      <c r="Y39">
        <v>24576.35</v>
      </c>
      <c r="Z39" s="64">
        <v>45897.597935983795</v>
      </c>
      <c r="AA39" s="75">
        <v>45897</v>
      </c>
    </row>
    <row r="40" spans="1:27" x14ac:dyDescent="0.3">
      <c r="A40" t="str">
        <f t="shared" si="0"/>
        <v>CE24200</v>
      </c>
      <c r="B40" t="str">
        <f t="shared" si="1"/>
        <v>PE24200</v>
      </c>
      <c r="C40" t="s">
        <v>163</v>
      </c>
      <c r="D40">
        <v>1733</v>
      </c>
      <c r="E40">
        <v>6</v>
      </c>
      <c r="F40">
        <v>10764</v>
      </c>
      <c r="G40">
        <v>0</v>
      </c>
      <c r="H40">
        <v>382.35</v>
      </c>
      <c r="I40">
        <v>-151.54999999999899</v>
      </c>
      <c r="J40">
        <v>75</v>
      </c>
      <c r="K40">
        <v>382.95</v>
      </c>
      <c r="L40">
        <v>384</v>
      </c>
      <c r="M40">
        <v>75</v>
      </c>
      <c r="N40">
        <v>24200</v>
      </c>
      <c r="O40">
        <v>1035075</v>
      </c>
      <c r="P40">
        <v>0.4</v>
      </c>
      <c r="Q40">
        <v>0.45</v>
      </c>
      <c r="R40">
        <v>588300</v>
      </c>
      <c r="S40">
        <v>-2.85</v>
      </c>
      <c r="T40">
        <v>0.4</v>
      </c>
      <c r="U40">
        <v>12.9</v>
      </c>
      <c r="V40">
        <v>1602165</v>
      </c>
      <c r="W40">
        <v>53952</v>
      </c>
      <c r="X40">
        <v>109831</v>
      </c>
      <c r="Y40">
        <v>24576.35</v>
      </c>
      <c r="Z40" s="64">
        <v>45897.597935983795</v>
      </c>
      <c r="AA40" s="75">
        <v>45897</v>
      </c>
    </row>
    <row r="41" spans="1:27" x14ac:dyDescent="0.3">
      <c r="A41" t="str">
        <f t="shared" si="0"/>
        <v>CE24250</v>
      </c>
      <c r="B41" t="str">
        <f t="shared" si="1"/>
        <v>PE24250</v>
      </c>
      <c r="C41" t="s">
        <v>163</v>
      </c>
      <c r="D41">
        <v>638</v>
      </c>
      <c r="E41">
        <v>382</v>
      </c>
      <c r="F41">
        <v>7288</v>
      </c>
      <c r="G41">
        <v>0</v>
      </c>
      <c r="H41">
        <v>333</v>
      </c>
      <c r="I41">
        <v>-159.05000000000001</v>
      </c>
      <c r="J41">
        <v>150</v>
      </c>
      <c r="K41">
        <v>332.75</v>
      </c>
      <c r="L41">
        <v>333.75</v>
      </c>
      <c r="M41">
        <v>450</v>
      </c>
      <c r="N41">
        <v>24250</v>
      </c>
      <c r="O41">
        <v>634275</v>
      </c>
      <c r="P41">
        <v>0.45</v>
      </c>
      <c r="Q41">
        <v>0.5</v>
      </c>
      <c r="R41">
        <v>681675</v>
      </c>
      <c r="S41">
        <v>-3.2</v>
      </c>
      <c r="T41">
        <v>0.5</v>
      </c>
      <c r="U41">
        <v>11.58</v>
      </c>
      <c r="V41">
        <v>1093261</v>
      </c>
      <c r="W41">
        <v>23697</v>
      </c>
      <c r="X41">
        <v>41273</v>
      </c>
      <c r="Y41">
        <v>24576.35</v>
      </c>
      <c r="Z41" s="64">
        <v>45897.597935983795</v>
      </c>
      <c r="AA41" s="75">
        <v>45897</v>
      </c>
    </row>
    <row r="42" spans="1:27" x14ac:dyDescent="0.3">
      <c r="A42" t="str">
        <f t="shared" si="0"/>
        <v>CE24300</v>
      </c>
      <c r="B42" t="str">
        <f t="shared" si="1"/>
        <v>PE24300</v>
      </c>
      <c r="C42" t="s">
        <v>163</v>
      </c>
      <c r="D42">
        <v>3771</v>
      </c>
      <c r="E42">
        <v>2456</v>
      </c>
      <c r="F42">
        <v>86432</v>
      </c>
      <c r="G42">
        <v>0</v>
      </c>
      <c r="H42">
        <v>282.7</v>
      </c>
      <c r="I42">
        <v>-153.69999999999999</v>
      </c>
      <c r="J42">
        <v>600</v>
      </c>
      <c r="K42">
        <v>282.95</v>
      </c>
      <c r="L42">
        <v>283.60000000000002</v>
      </c>
      <c r="M42">
        <v>225</v>
      </c>
      <c r="N42">
        <v>24300</v>
      </c>
      <c r="O42">
        <v>1172925</v>
      </c>
      <c r="P42">
        <v>0.45</v>
      </c>
      <c r="Q42">
        <v>0.5</v>
      </c>
      <c r="R42">
        <v>1213575</v>
      </c>
      <c r="S42">
        <v>-3.8999999999999901</v>
      </c>
      <c r="T42">
        <v>0.45</v>
      </c>
      <c r="U42">
        <v>10.18</v>
      </c>
      <c r="V42">
        <v>2246219</v>
      </c>
      <c r="W42">
        <v>45899</v>
      </c>
      <c r="X42">
        <v>92632</v>
      </c>
      <c r="Y42">
        <v>24576.35</v>
      </c>
      <c r="Z42" s="64">
        <v>45897.597935983795</v>
      </c>
      <c r="AA42" s="75">
        <v>45897</v>
      </c>
    </row>
    <row r="43" spans="1:27" x14ac:dyDescent="0.3">
      <c r="A43" t="str">
        <f t="shared" si="0"/>
        <v>CE24350</v>
      </c>
      <c r="B43" t="str">
        <f t="shared" si="1"/>
        <v>PE24350</v>
      </c>
      <c r="C43" t="s">
        <v>163</v>
      </c>
      <c r="D43">
        <v>1787</v>
      </c>
      <c r="E43">
        <v>1503</v>
      </c>
      <c r="F43">
        <v>61822</v>
      </c>
      <c r="G43">
        <v>0</v>
      </c>
      <c r="H43">
        <v>233.1</v>
      </c>
      <c r="I43">
        <v>-154.9</v>
      </c>
      <c r="J43">
        <v>525</v>
      </c>
      <c r="K43">
        <v>233.15</v>
      </c>
      <c r="L43">
        <v>233.7</v>
      </c>
      <c r="M43">
        <v>150</v>
      </c>
      <c r="N43">
        <v>24350</v>
      </c>
      <c r="O43">
        <v>982425</v>
      </c>
      <c r="P43">
        <v>0.5</v>
      </c>
      <c r="Q43">
        <v>0.55000000000000004</v>
      </c>
      <c r="R43">
        <v>856725</v>
      </c>
      <c r="S43">
        <v>-5.05</v>
      </c>
      <c r="T43">
        <v>0.55000000000000004</v>
      </c>
      <c r="U43">
        <v>8.76</v>
      </c>
      <c r="V43">
        <v>2560798</v>
      </c>
      <c r="W43">
        <v>45799</v>
      </c>
      <c r="X43">
        <v>63907</v>
      </c>
      <c r="Y43">
        <v>24576.35</v>
      </c>
      <c r="Z43" s="64">
        <v>45897.597935983795</v>
      </c>
      <c r="AA43" s="75">
        <v>45897</v>
      </c>
    </row>
    <row r="44" spans="1:27" x14ac:dyDescent="0.3">
      <c r="A44" t="str">
        <f t="shared" si="0"/>
        <v>CE24400</v>
      </c>
      <c r="B44" t="str">
        <f t="shared" si="1"/>
        <v>PE24400</v>
      </c>
      <c r="C44" t="s">
        <v>163</v>
      </c>
      <c r="D44">
        <v>17084</v>
      </c>
      <c r="E44">
        <v>14512</v>
      </c>
      <c r="F44">
        <v>507365</v>
      </c>
      <c r="G44">
        <v>0</v>
      </c>
      <c r="H44">
        <v>183.1</v>
      </c>
      <c r="I44">
        <v>-155.29999999999899</v>
      </c>
      <c r="J44">
        <v>300</v>
      </c>
      <c r="K44">
        <v>183.1</v>
      </c>
      <c r="L44">
        <v>183.5</v>
      </c>
      <c r="M44">
        <v>375</v>
      </c>
      <c r="N44">
        <v>24400</v>
      </c>
      <c r="O44">
        <v>1439925</v>
      </c>
      <c r="P44">
        <v>0.75</v>
      </c>
      <c r="Q44">
        <v>0.8</v>
      </c>
      <c r="R44">
        <v>1043175</v>
      </c>
      <c r="S44">
        <v>-6.4</v>
      </c>
      <c r="T44">
        <v>0.75</v>
      </c>
      <c r="U44">
        <v>7.52</v>
      </c>
      <c r="V44">
        <v>4987460</v>
      </c>
      <c r="W44">
        <v>76636</v>
      </c>
      <c r="X44">
        <v>122289</v>
      </c>
      <c r="Y44">
        <v>24576.35</v>
      </c>
      <c r="Z44" s="64">
        <v>45897.597935983795</v>
      </c>
      <c r="AA44" s="75">
        <v>45897</v>
      </c>
    </row>
    <row r="45" spans="1:27" x14ac:dyDescent="0.3">
      <c r="A45" t="str">
        <f t="shared" si="0"/>
        <v>CE24450</v>
      </c>
      <c r="B45" t="str">
        <f t="shared" si="1"/>
        <v>PE24450</v>
      </c>
      <c r="C45" t="s">
        <v>163</v>
      </c>
      <c r="D45">
        <v>15820</v>
      </c>
      <c r="E45">
        <v>14336</v>
      </c>
      <c r="F45">
        <v>700935</v>
      </c>
      <c r="G45">
        <v>0</v>
      </c>
      <c r="H45">
        <v>134.1</v>
      </c>
      <c r="I45">
        <v>-156.15</v>
      </c>
      <c r="J45">
        <v>450</v>
      </c>
      <c r="K45">
        <v>134.15</v>
      </c>
      <c r="L45">
        <v>134.44999999999999</v>
      </c>
      <c r="M45">
        <v>375</v>
      </c>
      <c r="N45">
        <v>24450</v>
      </c>
      <c r="O45">
        <v>545925</v>
      </c>
      <c r="P45">
        <v>1.4</v>
      </c>
      <c r="Q45">
        <v>1.45</v>
      </c>
      <c r="R45">
        <v>273000</v>
      </c>
      <c r="S45">
        <v>-8.15</v>
      </c>
      <c r="T45">
        <v>1.45</v>
      </c>
      <c r="U45">
        <v>6.61</v>
      </c>
      <c r="V45">
        <v>7013221</v>
      </c>
      <c r="W45">
        <v>129841</v>
      </c>
      <c r="X45">
        <v>152866</v>
      </c>
      <c r="Y45">
        <v>24576.35</v>
      </c>
      <c r="Z45" s="64">
        <v>45897.597935983795</v>
      </c>
      <c r="AA45" s="75">
        <v>45897</v>
      </c>
    </row>
    <row r="46" spans="1:27" x14ac:dyDescent="0.3">
      <c r="A46" t="str">
        <f t="shared" si="0"/>
        <v>CE24500</v>
      </c>
      <c r="B46" t="str">
        <f t="shared" si="1"/>
        <v>PE24500</v>
      </c>
      <c r="C46" t="s">
        <v>163</v>
      </c>
      <c r="D46">
        <v>107819</v>
      </c>
      <c r="E46">
        <v>93099</v>
      </c>
      <c r="F46">
        <v>4328142</v>
      </c>
      <c r="G46">
        <v>0</v>
      </c>
      <c r="H46">
        <v>86.2</v>
      </c>
      <c r="I46">
        <v>-158.80000000000001</v>
      </c>
      <c r="J46">
        <v>675</v>
      </c>
      <c r="K46">
        <v>86.2</v>
      </c>
      <c r="L46">
        <v>86.4</v>
      </c>
      <c r="M46">
        <v>1425</v>
      </c>
      <c r="N46">
        <v>24500</v>
      </c>
      <c r="O46">
        <v>119100</v>
      </c>
      <c r="P46">
        <v>3.6</v>
      </c>
      <c r="Q46">
        <v>3.65</v>
      </c>
      <c r="R46">
        <v>109425</v>
      </c>
      <c r="S46">
        <v>-9.65</v>
      </c>
      <c r="T46">
        <v>3.6</v>
      </c>
      <c r="U46">
        <v>6.12</v>
      </c>
      <c r="V46">
        <v>16230574</v>
      </c>
      <c r="W46">
        <v>339832</v>
      </c>
      <c r="X46">
        <v>444352</v>
      </c>
      <c r="Y46">
        <v>24576.35</v>
      </c>
      <c r="Z46" s="64">
        <v>45897.597935983795</v>
      </c>
      <c r="AA46" s="75">
        <v>45897</v>
      </c>
    </row>
    <row r="47" spans="1:27" x14ac:dyDescent="0.3">
      <c r="A47" t="str">
        <f t="shared" si="0"/>
        <v>CE24550</v>
      </c>
      <c r="B47" t="str">
        <f t="shared" si="1"/>
        <v>PE24550</v>
      </c>
      <c r="C47" t="s">
        <v>163</v>
      </c>
      <c r="D47">
        <v>227880</v>
      </c>
      <c r="E47">
        <v>226079</v>
      </c>
      <c r="F47">
        <v>7991929</v>
      </c>
      <c r="G47">
        <v>3.11</v>
      </c>
      <c r="H47">
        <v>43.2</v>
      </c>
      <c r="I47">
        <v>-156.55000000000001</v>
      </c>
      <c r="J47">
        <v>1425</v>
      </c>
      <c r="K47">
        <v>43.2</v>
      </c>
      <c r="L47">
        <v>43.3</v>
      </c>
      <c r="M47">
        <v>1125</v>
      </c>
      <c r="N47">
        <v>24550</v>
      </c>
      <c r="O47">
        <v>8775</v>
      </c>
      <c r="P47">
        <v>10.7</v>
      </c>
      <c r="Q47">
        <v>10.75</v>
      </c>
      <c r="R47">
        <v>13200</v>
      </c>
      <c r="S47">
        <v>-6.9</v>
      </c>
      <c r="T47">
        <v>10.7</v>
      </c>
      <c r="U47">
        <v>5.73</v>
      </c>
      <c r="V47">
        <v>14526038</v>
      </c>
      <c r="W47">
        <v>313340</v>
      </c>
      <c r="X47">
        <v>343443</v>
      </c>
      <c r="Y47">
        <v>24576.35</v>
      </c>
      <c r="Z47" s="64">
        <v>45897.597935983795</v>
      </c>
      <c r="AA47" s="75">
        <v>45897</v>
      </c>
    </row>
    <row r="48" spans="1:27" x14ac:dyDescent="0.3">
      <c r="A48" t="str">
        <f t="shared" si="0"/>
        <v>CE24600</v>
      </c>
      <c r="B48" t="str">
        <f t="shared" si="1"/>
        <v>PE24600</v>
      </c>
      <c r="C48" t="s">
        <v>163</v>
      </c>
      <c r="D48">
        <v>479929</v>
      </c>
      <c r="E48">
        <v>462111</v>
      </c>
      <c r="F48">
        <v>15422762</v>
      </c>
      <c r="G48">
        <v>4.2300000000000004</v>
      </c>
      <c r="H48">
        <v>15.45</v>
      </c>
      <c r="I48">
        <v>-141.75</v>
      </c>
      <c r="J48">
        <v>23250</v>
      </c>
      <c r="K48">
        <v>15.4</v>
      </c>
      <c r="L48">
        <v>15.5</v>
      </c>
      <c r="M48">
        <v>12075</v>
      </c>
      <c r="N48">
        <v>24600</v>
      </c>
      <c r="O48">
        <v>4350</v>
      </c>
      <c r="P48">
        <v>32.799999999999997</v>
      </c>
      <c r="Q48">
        <v>32.9</v>
      </c>
      <c r="R48">
        <v>1050</v>
      </c>
      <c r="S48">
        <v>8.3999999999999897</v>
      </c>
      <c r="T48">
        <v>32.9</v>
      </c>
      <c r="U48">
        <v>6.84</v>
      </c>
      <c r="V48">
        <v>14530250</v>
      </c>
      <c r="W48">
        <v>98891</v>
      </c>
      <c r="X48">
        <v>188875</v>
      </c>
      <c r="Y48">
        <v>24576.35</v>
      </c>
      <c r="Z48" s="64">
        <v>45897.597935983795</v>
      </c>
      <c r="AA48" s="75">
        <v>45897</v>
      </c>
    </row>
    <row r="49" spans="1:27" x14ac:dyDescent="0.3">
      <c r="A49" t="str">
        <f t="shared" si="0"/>
        <v>CE24650</v>
      </c>
      <c r="B49" t="str">
        <f t="shared" si="1"/>
        <v>PE24650</v>
      </c>
      <c r="C49" t="s">
        <v>163</v>
      </c>
      <c r="D49">
        <v>249558</v>
      </c>
      <c r="E49">
        <v>241072</v>
      </c>
      <c r="F49">
        <v>11385552</v>
      </c>
      <c r="G49">
        <v>5.31</v>
      </c>
      <c r="H49">
        <v>5.4</v>
      </c>
      <c r="I49">
        <v>-111.94999999999899</v>
      </c>
      <c r="J49">
        <v>30375</v>
      </c>
      <c r="K49">
        <v>5.4</v>
      </c>
      <c r="L49">
        <v>5.45</v>
      </c>
      <c r="M49">
        <v>21525</v>
      </c>
      <c r="N49">
        <v>24650</v>
      </c>
      <c r="O49">
        <v>1275</v>
      </c>
      <c r="P49">
        <v>72.5</v>
      </c>
      <c r="Q49">
        <v>72.7</v>
      </c>
      <c r="R49">
        <v>1200</v>
      </c>
      <c r="S49">
        <v>36.4</v>
      </c>
      <c r="T49">
        <v>72.7</v>
      </c>
      <c r="U49">
        <v>8.7100000000000009</v>
      </c>
      <c r="V49">
        <v>6330483</v>
      </c>
      <c r="W49">
        <v>24475</v>
      </c>
      <c r="X49">
        <v>61342</v>
      </c>
      <c r="Y49">
        <v>24576.35</v>
      </c>
      <c r="Z49" s="64">
        <v>45897.597935995371</v>
      </c>
      <c r="AA49" s="75">
        <v>45897</v>
      </c>
    </row>
    <row r="50" spans="1:27" x14ac:dyDescent="0.3">
      <c r="A50" t="str">
        <f t="shared" si="0"/>
        <v>CE24700</v>
      </c>
      <c r="B50" t="str">
        <f t="shared" si="1"/>
        <v>PE24700</v>
      </c>
      <c r="C50" t="s">
        <v>163</v>
      </c>
      <c r="D50">
        <v>237876</v>
      </c>
      <c r="E50">
        <v>184290</v>
      </c>
      <c r="F50">
        <v>10986507</v>
      </c>
      <c r="G50">
        <v>6.81</v>
      </c>
      <c r="H50">
        <v>2.9</v>
      </c>
      <c r="I50">
        <v>-81.849999999999994</v>
      </c>
      <c r="J50">
        <v>147225</v>
      </c>
      <c r="K50">
        <v>2.85</v>
      </c>
      <c r="L50">
        <v>2.9</v>
      </c>
      <c r="M50">
        <v>92475</v>
      </c>
      <c r="N50">
        <v>24700</v>
      </c>
      <c r="O50">
        <v>450</v>
      </c>
      <c r="P50">
        <v>119.8</v>
      </c>
      <c r="Q50">
        <v>120.1</v>
      </c>
      <c r="R50">
        <v>2025</v>
      </c>
      <c r="S50">
        <v>66.899999999999906</v>
      </c>
      <c r="T50">
        <v>120.1</v>
      </c>
      <c r="U50">
        <v>11.15</v>
      </c>
      <c r="V50">
        <v>3583954</v>
      </c>
      <c r="W50">
        <v>-31554</v>
      </c>
      <c r="X50">
        <v>46580</v>
      </c>
      <c r="Y50">
        <v>24576.35</v>
      </c>
      <c r="Z50" s="64">
        <v>45897.597935995371</v>
      </c>
      <c r="AA50" s="75">
        <v>45897</v>
      </c>
    </row>
    <row r="51" spans="1:27" x14ac:dyDescent="0.3">
      <c r="A51" t="str">
        <f t="shared" si="0"/>
        <v>CE24750</v>
      </c>
      <c r="B51" t="str">
        <f t="shared" si="1"/>
        <v>PE24750</v>
      </c>
      <c r="C51" t="s">
        <v>163</v>
      </c>
      <c r="D51">
        <v>124130</v>
      </c>
      <c r="E51">
        <v>52837</v>
      </c>
      <c r="F51">
        <v>6501287</v>
      </c>
      <c r="G51">
        <v>8.25</v>
      </c>
      <c r="H51">
        <v>1.75</v>
      </c>
      <c r="I51">
        <v>-57.7</v>
      </c>
      <c r="J51">
        <v>202950</v>
      </c>
      <c r="K51">
        <v>1.75</v>
      </c>
      <c r="L51">
        <v>1.8</v>
      </c>
      <c r="M51">
        <v>203400</v>
      </c>
      <c r="N51">
        <v>24750</v>
      </c>
      <c r="O51">
        <v>375</v>
      </c>
      <c r="P51">
        <v>169.15</v>
      </c>
      <c r="Q51">
        <v>169.5</v>
      </c>
      <c r="R51">
        <v>75</v>
      </c>
      <c r="S51">
        <v>93.8</v>
      </c>
      <c r="T51">
        <v>169.5</v>
      </c>
      <c r="U51">
        <v>13.62</v>
      </c>
      <c r="V51">
        <v>818980</v>
      </c>
      <c r="W51">
        <v>-17776</v>
      </c>
      <c r="X51">
        <v>16880</v>
      </c>
      <c r="Y51">
        <v>24576.35</v>
      </c>
      <c r="Z51" s="64">
        <v>45897.597935995371</v>
      </c>
      <c r="AA51" s="75">
        <v>45897</v>
      </c>
    </row>
    <row r="52" spans="1:27" x14ac:dyDescent="0.3">
      <c r="A52" t="str">
        <f t="shared" si="0"/>
        <v>CE24800</v>
      </c>
      <c r="B52" t="str">
        <f t="shared" si="1"/>
        <v>PE24800</v>
      </c>
      <c r="C52" t="s">
        <v>163</v>
      </c>
      <c r="D52">
        <v>196602</v>
      </c>
      <c r="E52">
        <v>46653</v>
      </c>
      <c r="F52">
        <v>6656925</v>
      </c>
      <c r="G52">
        <v>9.76</v>
      </c>
      <c r="H52">
        <v>1.5</v>
      </c>
      <c r="I52">
        <v>-40.65</v>
      </c>
      <c r="J52">
        <v>379800</v>
      </c>
      <c r="K52">
        <v>1.45</v>
      </c>
      <c r="L52">
        <v>1.5</v>
      </c>
      <c r="M52">
        <v>532350</v>
      </c>
      <c r="N52">
        <v>24800</v>
      </c>
      <c r="O52">
        <v>150</v>
      </c>
      <c r="P52">
        <v>218.45</v>
      </c>
      <c r="Q52">
        <v>218.85</v>
      </c>
      <c r="R52">
        <v>150</v>
      </c>
      <c r="S52">
        <v>112.8</v>
      </c>
      <c r="T52">
        <v>218.9</v>
      </c>
      <c r="U52">
        <v>16.100000000000001</v>
      </c>
      <c r="V52">
        <v>650117</v>
      </c>
      <c r="W52">
        <v>-25377</v>
      </c>
      <c r="X52">
        <v>30154</v>
      </c>
      <c r="Y52">
        <v>24576.35</v>
      </c>
      <c r="Z52" s="64">
        <v>45897.597935995371</v>
      </c>
      <c r="AA52" s="75">
        <v>45897</v>
      </c>
    </row>
    <row r="53" spans="1:27" x14ac:dyDescent="0.3">
      <c r="A53" t="str">
        <f t="shared" si="0"/>
        <v>CE24850</v>
      </c>
      <c r="B53" t="str">
        <f t="shared" si="1"/>
        <v>PE24850</v>
      </c>
      <c r="C53" t="s">
        <v>163</v>
      </c>
      <c r="D53">
        <v>91806</v>
      </c>
      <c r="E53">
        <v>15343</v>
      </c>
      <c r="F53">
        <v>3417908</v>
      </c>
      <c r="G53">
        <v>11.17</v>
      </c>
      <c r="H53">
        <v>1.2</v>
      </c>
      <c r="I53">
        <v>-29.25</v>
      </c>
      <c r="J53">
        <v>354300</v>
      </c>
      <c r="K53">
        <v>1.1499999999999999</v>
      </c>
      <c r="L53">
        <v>1.2</v>
      </c>
      <c r="M53">
        <v>62100</v>
      </c>
      <c r="N53">
        <v>24850</v>
      </c>
      <c r="O53">
        <v>225</v>
      </c>
      <c r="P53">
        <v>268.55</v>
      </c>
      <c r="Q53">
        <v>269.10000000000002</v>
      </c>
      <c r="R53">
        <v>375</v>
      </c>
      <c r="S53">
        <v>126.75</v>
      </c>
      <c r="T53">
        <v>269.25</v>
      </c>
      <c r="U53">
        <v>18.34</v>
      </c>
      <c r="V53">
        <v>106204</v>
      </c>
      <c r="W53">
        <v>-7838</v>
      </c>
      <c r="X53">
        <v>6552</v>
      </c>
      <c r="Y53">
        <v>24576.35</v>
      </c>
      <c r="Z53" s="64">
        <v>45897.597935995371</v>
      </c>
      <c r="AA53" s="75">
        <v>45897</v>
      </c>
    </row>
    <row r="54" spans="1:27" x14ac:dyDescent="0.3">
      <c r="A54" t="str">
        <f t="shared" si="0"/>
        <v>CE24900</v>
      </c>
      <c r="B54" t="str">
        <f t="shared" si="1"/>
        <v>PE24900</v>
      </c>
      <c r="C54" t="s">
        <v>163</v>
      </c>
      <c r="D54">
        <v>129058</v>
      </c>
      <c r="E54">
        <v>-5366</v>
      </c>
      <c r="F54">
        <v>2987054</v>
      </c>
      <c r="G54">
        <v>12.59</v>
      </c>
      <c r="H54">
        <v>1</v>
      </c>
      <c r="I54">
        <v>-21.7</v>
      </c>
      <c r="J54">
        <v>510000</v>
      </c>
      <c r="K54">
        <v>1</v>
      </c>
      <c r="L54">
        <v>1.05</v>
      </c>
      <c r="M54">
        <v>653025</v>
      </c>
      <c r="N54">
        <v>24900</v>
      </c>
      <c r="O54">
        <v>75</v>
      </c>
      <c r="P54">
        <v>318.3</v>
      </c>
      <c r="Q54">
        <v>318.60000000000002</v>
      </c>
      <c r="R54">
        <v>150</v>
      </c>
      <c r="S54">
        <v>131.05000000000001</v>
      </c>
      <c r="T54">
        <v>318.35000000000002</v>
      </c>
      <c r="U54">
        <v>20.48</v>
      </c>
      <c r="V54">
        <v>126281</v>
      </c>
      <c r="W54">
        <v>-12860</v>
      </c>
      <c r="X54">
        <v>18260</v>
      </c>
      <c r="Y54">
        <v>24576.35</v>
      </c>
      <c r="Z54" s="64">
        <v>45897.597935995371</v>
      </c>
      <c r="AA54" s="75">
        <v>45897</v>
      </c>
    </row>
    <row r="55" spans="1:27" x14ac:dyDescent="0.3">
      <c r="A55" t="str">
        <f t="shared" si="0"/>
        <v>CE24950</v>
      </c>
      <c r="B55" t="str">
        <f t="shared" si="1"/>
        <v>PE24950</v>
      </c>
      <c r="C55" t="s">
        <v>163</v>
      </c>
      <c r="D55">
        <v>74446</v>
      </c>
      <c r="E55">
        <v>-5913</v>
      </c>
      <c r="F55">
        <v>1916108</v>
      </c>
      <c r="G55">
        <v>14.09</v>
      </c>
      <c r="H55">
        <v>0.95</v>
      </c>
      <c r="I55">
        <v>-16.2</v>
      </c>
      <c r="J55">
        <v>518775</v>
      </c>
      <c r="K55">
        <v>0.95</v>
      </c>
      <c r="L55">
        <v>1</v>
      </c>
      <c r="M55">
        <v>456450</v>
      </c>
      <c r="N55">
        <v>24950</v>
      </c>
      <c r="O55">
        <v>225</v>
      </c>
      <c r="P55">
        <v>367.6</v>
      </c>
      <c r="Q55">
        <v>368.65</v>
      </c>
      <c r="R55">
        <v>75</v>
      </c>
      <c r="S55">
        <v>139.54999999999899</v>
      </c>
      <c r="T55">
        <v>370.45</v>
      </c>
      <c r="U55">
        <v>22.54</v>
      </c>
      <c r="V55">
        <v>25820</v>
      </c>
      <c r="W55">
        <v>-3799</v>
      </c>
      <c r="X55">
        <v>7884</v>
      </c>
      <c r="Y55">
        <v>24576.35</v>
      </c>
      <c r="Z55" s="64">
        <v>45897.597935995371</v>
      </c>
      <c r="AA55" s="75">
        <v>45897</v>
      </c>
    </row>
    <row r="56" spans="1:27" x14ac:dyDescent="0.3">
      <c r="A56" t="str">
        <f t="shared" si="0"/>
        <v>CE25000</v>
      </c>
      <c r="B56" t="str">
        <f t="shared" si="1"/>
        <v>PE25000</v>
      </c>
      <c r="C56" t="s">
        <v>163</v>
      </c>
      <c r="D56">
        <v>240808</v>
      </c>
      <c r="E56">
        <v>23700</v>
      </c>
      <c r="F56">
        <v>2992112</v>
      </c>
      <c r="G56">
        <v>15.55</v>
      </c>
      <c r="H56">
        <v>0.85</v>
      </c>
      <c r="I56">
        <v>-12.1</v>
      </c>
      <c r="J56">
        <v>852225</v>
      </c>
      <c r="K56">
        <v>0.85</v>
      </c>
      <c r="L56">
        <v>0.9</v>
      </c>
      <c r="M56">
        <v>775800</v>
      </c>
      <c r="N56">
        <v>25000</v>
      </c>
      <c r="O56">
        <v>300</v>
      </c>
      <c r="P56">
        <v>417.35</v>
      </c>
      <c r="Q56">
        <v>418.35</v>
      </c>
      <c r="R56">
        <v>300</v>
      </c>
      <c r="S56">
        <v>139.05000000000001</v>
      </c>
      <c r="T56">
        <v>417.8</v>
      </c>
      <c r="U56">
        <v>25.05</v>
      </c>
      <c r="V56">
        <v>80301</v>
      </c>
      <c r="W56">
        <v>-5607</v>
      </c>
      <c r="X56">
        <v>36654</v>
      </c>
      <c r="Y56">
        <v>24576.35</v>
      </c>
      <c r="Z56" s="64">
        <v>45897.597935995371</v>
      </c>
      <c r="AA56" s="75">
        <v>45897</v>
      </c>
    </row>
    <row r="57" spans="1:27" x14ac:dyDescent="0.3">
      <c r="A57" t="str">
        <f t="shared" si="0"/>
        <v>CE25050</v>
      </c>
      <c r="B57" t="str">
        <f t="shared" si="1"/>
        <v>PE25050</v>
      </c>
      <c r="C57" t="s">
        <v>163</v>
      </c>
      <c r="D57">
        <v>93420</v>
      </c>
      <c r="E57">
        <v>16799</v>
      </c>
      <c r="F57">
        <v>1417052</v>
      </c>
      <c r="G57">
        <v>16.87</v>
      </c>
      <c r="H57">
        <v>0.75</v>
      </c>
      <c r="I57">
        <v>-9.0500000000000007</v>
      </c>
      <c r="J57">
        <v>548325</v>
      </c>
      <c r="K57">
        <v>0.75</v>
      </c>
      <c r="L57">
        <v>0.8</v>
      </c>
      <c r="M57">
        <v>344175</v>
      </c>
      <c r="N57">
        <v>25050</v>
      </c>
      <c r="O57">
        <v>225</v>
      </c>
      <c r="P57">
        <v>467.4</v>
      </c>
      <c r="Q57">
        <v>468.7</v>
      </c>
      <c r="R57">
        <v>150</v>
      </c>
      <c r="S57">
        <v>145.85</v>
      </c>
      <c r="T57">
        <v>470.8</v>
      </c>
      <c r="U57">
        <v>27.24</v>
      </c>
      <c r="V57">
        <v>7615</v>
      </c>
      <c r="W57">
        <v>-905</v>
      </c>
      <c r="X57">
        <v>4573</v>
      </c>
      <c r="Y57">
        <v>24576.35</v>
      </c>
      <c r="Z57" s="64">
        <v>45897.597935995371</v>
      </c>
      <c r="AA57" s="75">
        <v>45897</v>
      </c>
    </row>
    <row r="58" spans="1:27" x14ac:dyDescent="0.3">
      <c r="A58" t="str">
        <f t="shared" si="0"/>
        <v>CE25100</v>
      </c>
      <c r="B58" t="str">
        <f t="shared" si="1"/>
        <v>PE25100</v>
      </c>
      <c r="C58" t="s">
        <v>163</v>
      </c>
      <c r="D58">
        <v>142555</v>
      </c>
      <c r="E58">
        <v>809</v>
      </c>
      <c r="F58">
        <v>1843000</v>
      </c>
      <c r="G58">
        <v>18.12</v>
      </c>
      <c r="H58">
        <v>0.7</v>
      </c>
      <c r="I58">
        <v>-6.6</v>
      </c>
      <c r="J58">
        <v>732675</v>
      </c>
      <c r="K58">
        <v>0.7</v>
      </c>
      <c r="L58">
        <v>0.75</v>
      </c>
      <c r="M58">
        <v>513750</v>
      </c>
      <c r="N58">
        <v>25100</v>
      </c>
      <c r="O58">
        <v>150</v>
      </c>
      <c r="P58">
        <v>517.04999999999995</v>
      </c>
      <c r="Q58">
        <v>518.85</v>
      </c>
      <c r="R58">
        <v>150</v>
      </c>
      <c r="S58">
        <v>146.29999999999899</v>
      </c>
      <c r="T58">
        <v>520.29999999999995</v>
      </c>
      <c r="U58">
        <v>30.8</v>
      </c>
      <c r="V58">
        <v>12337</v>
      </c>
      <c r="W58">
        <v>-3783</v>
      </c>
      <c r="X58">
        <v>10341</v>
      </c>
      <c r="Y58">
        <v>24576.35</v>
      </c>
      <c r="Z58" s="64">
        <v>45897.597935995371</v>
      </c>
      <c r="AA58" s="75">
        <v>45897</v>
      </c>
    </row>
    <row r="59" spans="1:27" x14ac:dyDescent="0.3">
      <c r="A59" t="str">
        <f t="shared" si="0"/>
        <v>CE25150</v>
      </c>
      <c r="B59" t="str">
        <f t="shared" si="1"/>
        <v>PE25150</v>
      </c>
      <c r="C59" t="s">
        <v>163</v>
      </c>
      <c r="D59">
        <v>57577</v>
      </c>
      <c r="E59">
        <v>-9273</v>
      </c>
      <c r="F59">
        <v>1038262</v>
      </c>
      <c r="G59">
        <v>19.579999999999998</v>
      </c>
      <c r="H59">
        <v>0.7</v>
      </c>
      <c r="I59">
        <v>-4.95</v>
      </c>
      <c r="J59">
        <v>637575</v>
      </c>
      <c r="K59">
        <v>0.7</v>
      </c>
      <c r="L59">
        <v>0.75</v>
      </c>
      <c r="M59">
        <v>400050</v>
      </c>
      <c r="N59">
        <v>25150</v>
      </c>
      <c r="O59">
        <v>75</v>
      </c>
      <c r="P59">
        <v>567.15</v>
      </c>
      <c r="Q59">
        <v>569.04999999999995</v>
      </c>
      <c r="R59">
        <v>75</v>
      </c>
      <c r="S59">
        <v>143.25</v>
      </c>
      <c r="T59">
        <v>567.5</v>
      </c>
      <c r="U59">
        <v>30.3</v>
      </c>
      <c r="V59">
        <v>4315</v>
      </c>
      <c r="W59">
        <v>-1447</v>
      </c>
      <c r="X59">
        <v>2862</v>
      </c>
      <c r="Y59">
        <v>24576.35</v>
      </c>
      <c r="Z59" s="64">
        <v>45897.597935995371</v>
      </c>
      <c r="AA59" s="75">
        <v>45897</v>
      </c>
    </row>
    <row r="60" spans="1:27" x14ac:dyDescent="0.3">
      <c r="A60" t="str">
        <f t="shared" si="0"/>
        <v>CE25200</v>
      </c>
      <c r="B60" t="str">
        <f t="shared" si="1"/>
        <v>PE25200</v>
      </c>
      <c r="C60" t="s">
        <v>163</v>
      </c>
      <c r="D60">
        <v>165027</v>
      </c>
      <c r="E60">
        <v>12265</v>
      </c>
      <c r="F60">
        <v>1568799</v>
      </c>
      <c r="G60">
        <v>20.88</v>
      </c>
      <c r="H60">
        <v>0.65</v>
      </c>
      <c r="I60">
        <v>-4</v>
      </c>
      <c r="J60">
        <v>596475</v>
      </c>
      <c r="K60">
        <v>0.65</v>
      </c>
      <c r="L60">
        <v>0.7</v>
      </c>
      <c r="M60">
        <v>388950</v>
      </c>
      <c r="N60">
        <v>25200</v>
      </c>
      <c r="O60">
        <v>675</v>
      </c>
      <c r="P60">
        <v>617.9</v>
      </c>
      <c r="Q60">
        <v>619.54999999999995</v>
      </c>
      <c r="R60">
        <v>300</v>
      </c>
      <c r="S60">
        <v>144.30000000000001</v>
      </c>
      <c r="T60">
        <v>617.70000000000005</v>
      </c>
      <c r="U60">
        <v>33.950000000000003</v>
      </c>
      <c r="V60">
        <v>9932</v>
      </c>
      <c r="W60">
        <v>-2334</v>
      </c>
      <c r="X60">
        <v>13785</v>
      </c>
      <c r="Y60">
        <v>24576.35</v>
      </c>
      <c r="Z60" s="64">
        <v>45897.597935995371</v>
      </c>
      <c r="AA60" s="75">
        <v>45897</v>
      </c>
    </row>
    <row r="61" spans="1:27" x14ac:dyDescent="0.3">
      <c r="A61" t="str">
        <f t="shared" si="0"/>
        <v>CE25250</v>
      </c>
      <c r="B61" t="str">
        <f t="shared" si="1"/>
        <v>PE25250</v>
      </c>
      <c r="C61" t="s">
        <v>163</v>
      </c>
      <c r="D61">
        <v>35747</v>
      </c>
      <c r="E61">
        <v>-7577</v>
      </c>
      <c r="F61">
        <v>644715</v>
      </c>
      <c r="G61">
        <v>22.15</v>
      </c>
      <c r="H61">
        <v>0.6</v>
      </c>
      <c r="I61">
        <v>-3.19999999999999</v>
      </c>
      <c r="J61">
        <v>474450</v>
      </c>
      <c r="K61">
        <v>0.6</v>
      </c>
      <c r="L61">
        <v>0.65</v>
      </c>
      <c r="M61">
        <v>309075</v>
      </c>
      <c r="N61">
        <v>25250</v>
      </c>
      <c r="O61">
        <v>75</v>
      </c>
      <c r="P61">
        <v>667.6</v>
      </c>
      <c r="Q61">
        <v>669.4</v>
      </c>
      <c r="R61">
        <v>150</v>
      </c>
      <c r="S61">
        <v>149.85</v>
      </c>
      <c r="T61">
        <v>669.95</v>
      </c>
      <c r="U61">
        <v>36.36</v>
      </c>
      <c r="V61">
        <v>1032</v>
      </c>
      <c r="W61">
        <v>-263</v>
      </c>
      <c r="X61">
        <v>1134</v>
      </c>
      <c r="Y61">
        <v>24576.35</v>
      </c>
      <c r="Z61" s="64">
        <v>45897.597935995371</v>
      </c>
      <c r="AA61" s="75">
        <v>45897</v>
      </c>
    </row>
    <row r="62" spans="1:27" x14ac:dyDescent="0.3">
      <c r="A62" t="str">
        <f t="shared" si="0"/>
        <v>CE25300</v>
      </c>
      <c r="B62" t="str">
        <f t="shared" si="1"/>
        <v>PE25300</v>
      </c>
      <c r="C62" t="s">
        <v>163</v>
      </c>
      <c r="D62">
        <v>103232</v>
      </c>
      <c r="E62">
        <v>12662</v>
      </c>
      <c r="F62">
        <v>1157744</v>
      </c>
      <c r="G62">
        <v>23.54</v>
      </c>
      <c r="H62">
        <v>0.6</v>
      </c>
      <c r="I62">
        <v>-2.5</v>
      </c>
      <c r="J62">
        <v>953100</v>
      </c>
      <c r="K62">
        <v>0.55000000000000004</v>
      </c>
      <c r="L62">
        <v>0.6</v>
      </c>
      <c r="M62">
        <v>436425</v>
      </c>
      <c r="N62">
        <v>25300</v>
      </c>
      <c r="O62">
        <v>225</v>
      </c>
      <c r="P62">
        <v>717.95</v>
      </c>
      <c r="Q62">
        <v>719.8</v>
      </c>
      <c r="R62">
        <v>75</v>
      </c>
      <c r="S62">
        <v>149.25</v>
      </c>
      <c r="T62">
        <v>719.45</v>
      </c>
      <c r="U62">
        <v>39.96</v>
      </c>
      <c r="V62">
        <v>4531</v>
      </c>
      <c r="W62">
        <v>-1069</v>
      </c>
      <c r="X62">
        <v>4206</v>
      </c>
      <c r="Y62">
        <v>24576.35</v>
      </c>
      <c r="Z62" s="64">
        <v>45897.597935995371</v>
      </c>
      <c r="AA62" s="75">
        <v>45897</v>
      </c>
    </row>
    <row r="63" spans="1:27" x14ac:dyDescent="0.3">
      <c r="A63" t="str">
        <f t="shared" si="0"/>
        <v>CE25350</v>
      </c>
      <c r="B63" t="str">
        <f t="shared" si="1"/>
        <v>PE25350</v>
      </c>
      <c r="C63" t="s">
        <v>163</v>
      </c>
      <c r="D63">
        <v>31683</v>
      </c>
      <c r="E63">
        <v>7683</v>
      </c>
      <c r="F63">
        <v>554980</v>
      </c>
      <c r="G63">
        <v>24.76</v>
      </c>
      <c r="H63">
        <v>0.55000000000000004</v>
      </c>
      <c r="I63">
        <v>-2.2000000000000002</v>
      </c>
      <c r="J63">
        <v>293625</v>
      </c>
      <c r="K63">
        <v>0.55000000000000004</v>
      </c>
      <c r="L63">
        <v>0.6</v>
      </c>
      <c r="M63">
        <v>279075</v>
      </c>
      <c r="N63">
        <v>25350</v>
      </c>
      <c r="O63">
        <v>75</v>
      </c>
      <c r="P63">
        <v>767.4</v>
      </c>
      <c r="Q63">
        <v>770</v>
      </c>
      <c r="R63">
        <v>75</v>
      </c>
      <c r="S63">
        <v>169.39999999999901</v>
      </c>
      <c r="T63">
        <v>790.05</v>
      </c>
      <c r="U63">
        <v>36.69</v>
      </c>
      <c r="V63">
        <v>240</v>
      </c>
      <c r="W63">
        <v>4</v>
      </c>
      <c r="X63">
        <v>666</v>
      </c>
      <c r="Y63">
        <v>24576.35</v>
      </c>
      <c r="Z63" s="64">
        <v>45897.597935995371</v>
      </c>
      <c r="AA63" s="75">
        <v>45897</v>
      </c>
    </row>
    <row r="64" spans="1:27" x14ac:dyDescent="0.3">
      <c r="A64" t="str">
        <f t="shared" ref="A64:A76" si="2">"CE"&amp;N77</f>
        <v>CE26050</v>
      </c>
      <c r="B64" t="str">
        <f t="shared" ref="B64:B76" si="3">"PE"&amp;N77</f>
        <v>PE26050</v>
      </c>
      <c r="C64" t="s">
        <v>163</v>
      </c>
      <c r="D64">
        <v>70187</v>
      </c>
      <c r="E64">
        <v>10809</v>
      </c>
      <c r="F64">
        <v>739931</v>
      </c>
      <c r="G64">
        <v>25.93</v>
      </c>
      <c r="H64">
        <v>0.5</v>
      </c>
      <c r="I64">
        <v>-2</v>
      </c>
      <c r="J64">
        <v>562425</v>
      </c>
      <c r="K64">
        <v>0.5</v>
      </c>
      <c r="L64">
        <v>0.55000000000000004</v>
      </c>
      <c r="M64">
        <v>304875</v>
      </c>
      <c r="N64">
        <v>25400</v>
      </c>
      <c r="O64">
        <v>75</v>
      </c>
      <c r="P64">
        <v>817.75</v>
      </c>
      <c r="Q64">
        <v>819.85</v>
      </c>
      <c r="R64">
        <v>75</v>
      </c>
      <c r="S64">
        <v>155.89999999999901</v>
      </c>
      <c r="T64">
        <v>825.5</v>
      </c>
      <c r="U64">
        <v>43.2</v>
      </c>
      <c r="V64">
        <v>2058</v>
      </c>
      <c r="W64">
        <v>-127</v>
      </c>
      <c r="X64">
        <v>3784</v>
      </c>
      <c r="Y64">
        <v>24576.35</v>
      </c>
      <c r="Z64" s="64">
        <v>45897.597935995371</v>
      </c>
      <c r="AA64" s="75">
        <v>45897</v>
      </c>
    </row>
    <row r="65" spans="1:27" x14ac:dyDescent="0.3">
      <c r="A65" t="str">
        <f t="shared" si="2"/>
        <v>CE26100</v>
      </c>
      <c r="B65" t="str">
        <f t="shared" si="3"/>
        <v>PE26100</v>
      </c>
      <c r="C65" t="s">
        <v>163</v>
      </c>
      <c r="D65">
        <v>21879</v>
      </c>
      <c r="E65">
        <v>-7655</v>
      </c>
      <c r="F65">
        <v>299806</v>
      </c>
      <c r="G65">
        <v>27.08</v>
      </c>
      <c r="H65">
        <v>0.5</v>
      </c>
      <c r="I65">
        <v>-1.7</v>
      </c>
      <c r="J65">
        <v>277725</v>
      </c>
      <c r="K65">
        <v>0.5</v>
      </c>
      <c r="L65">
        <v>0.55000000000000004</v>
      </c>
      <c r="M65">
        <v>253425</v>
      </c>
      <c r="N65">
        <v>25450</v>
      </c>
      <c r="O65">
        <v>75</v>
      </c>
      <c r="P65">
        <v>867.25</v>
      </c>
      <c r="Q65">
        <v>869.7</v>
      </c>
      <c r="R65">
        <v>75</v>
      </c>
      <c r="S65">
        <v>160.5</v>
      </c>
      <c r="T65">
        <v>880</v>
      </c>
      <c r="U65">
        <v>43.74</v>
      </c>
      <c r="V65">
        <v>281</v>
      </c>
      <c r="W65">
        <v>-36</v>
      </c>
      <c r="X65">
        <v>388</v>
      </c>
      <c r="Y65">
        <v>24576.35</v>
      </c>
      <c r="Z65" s="64">
        <v>45897.597935995371</v>
      </c>
      <c r="AA65" s="75">
        <v>45897</v>
      </c>
    </row>
    <row r="66" spans="1:27" x14ac:dyDescent="0.3">
      <c r="A66" t="str">
        <f t="shared" si="2"/>
        <v>CE26150</v>
      </c>
      <c r="B66" t="str">
        <f t="shared" si="3"/>
        <v>PE26150</v>
      </c>
      <c r="C66" t="s">
        <v>163</v>
      </c>
      <c r="D66">
        <v>143482</v>
      </c>
      <c r="E66">
        <v>13446</v>
      </c>
      <c r="F66">
        <v>1256682</v>
      </c>
      <c r="G66">
        <v>28.19</v>
      </c>
      <c r="H66">
        <v>0.5</v>
      </c>
      <c r="I66">
        <v>-1.7</v>
      </c>
      <c r="J66">
        <v>1078800</v>
      </c>
      <c r="K66">
        <v>0.45</v>
      </c>
      <c r="L66">
        <v>0.5</v>
      </c>
      <c r="M66">
        <v>771600</v>
      </c>
      <c r="N66">
        <v>25500</v>
      </c>
      <c r="O66">
        <v>150</v>
      </c>
      <c r="P66">
        <v>917.1</v>
      </c>
      <c r="Q66">
        <v>919.65</v>
      </c>
      <c r="R66">
        <v>225</v>
      </c>
      <c r="S66">
        <v>145.94999999999999</v>
      </c>
      <c r="T66">
        <v>919.25</v>
      </c>
      <c r="U66">
        <v>42.94</v>
      </c>
      <c r="V66">
        <v>15726</v>
      </c>
      <c r="W66">
        <v>577</v>
      </c>
      <c r="X66">
        <v>23077</v>
      </c>
      <c r="Y66">
        <v>24576.35</v>
      </c>
      <c r="Z66" s="64">
        <v>45897.597935995371</v>
      </c>
      <c r="AA66" s="75">
        <v>45897</v>
      </c>
    </row>
    <row r="67" spans="1:27" x14ac:dyDescent="0.3">
      <c r="A67" t="str">
        <f t="shared" si="2"/>
        <v>CE26200</v>
      </c>
      <c r="B67" t="str">
        <f t="shared" si="3"/>
        <v>PE26200</v>
      </c>
      <c r="C67" t="s">
        <v>163</v>
      </c>
      <c r="D67">
        <v>23059</v>
      </c>
      <c r="E67">
        <v>-233</v>
      </c>
      <c r="F67">
        <v>264714</v>
      </c>
      <c r="G67">
        <v>29.5</v>
      </c>
      <c r="H67">
        <v>0.5</v>
      </c>
      <c r="I67">
        <v>-1.5</v>
      </c>
      <c r="J67">
        <v>315975</v>
      </c>
      <c r="K67">
        <v>0.5</v>
      </c>
      <c r="L67">
        <v>0.55000000000000004</v>
      </c>
      <c r="M67">
        <v>309825</v>
      </c>
      <c r="N67">
        <v>25550</v>
      </c>
      <c r="O67">
        <v>150</v>
      </c>
      <c r="P67">
        <v>967.55</v>
      </c>
      <c r="Q67">
        <v>969.65</v>
      </c>
      <c r="R67">
        <v>75</v>
      </c>
      <c r="S67">
        <v>144.29999999999899</v>
      </c>
      <c r="T67">
        <v>970</v>
      </c>
      <c r="U67">
        <v>57.18</v>
      </c>
      <c r="V67">
        <v>56</v>
      </c>
      <c r="W67">
        <v>-11</v>
      </c>
      <c r="X67">
        <v>111</v>
      </c>
      <c r="Y67">
        <v>24576.35</v>
      </c>
      <c r="Z67" s="64">
        <v>45897.597935995371</v>
      </c>
      <c r="AA67" s="75">
        <v>45897</v>
      </c>
    </row>
    <row r="68" spans="1:27" x14ac:dyDescent="0.3">
      <c r="A68" t="str">
        <f t="shared" si="2"/>
        <v>CE26250</v>
      </c>
      <c r="B68" t="str">
        <f t="shared" si="3"/>
        <v>PE26250</v>
      </c>
      <c r="C68" t="s">
        <v>163</v>
      </c>
      <c r="D68">
        <v>53188</v>
      </c>
      <c r="E68">
        <v>-29527</v>
      </c>
      <c r="F68">
        <v>514079</v>
      </c>
      <c r="G68">
        <v>31.04</v>
      </c>
      <c r="H68">
        <v>0.5</v>
      </c>
      <c r="I68">
        <v>-1.5</v>
      </c>
      <c r="J68">
        <v>588075</v>
      </c>
      <c r="K68">
        <v>0.45</v>
      </c>
      <c r="L68">
        <v>0.5</v>
      </c>
      <c r="M68">
        <v>336450</v>
      </c>
      <c r="N68">
        <v>25600</v>
      </c>
      <c r="O68">
        <v>75</v>
      </c>
      <c r="P68">
        <v>1016.6</v>
      </c>
      <c r="Q68">
        <v>1020.05</v>
      </c>
      <c r="R68">
        <v>75</v>
      </c>
      <c r="S68">
        <v>161.39999999999901</v>
      </c>
      <c r="T68">
        <v>1030</v>
      </c>
      <c r="U68">
        <v>45.56</v>
      </c>
      <c r="V68">
        <v>1823</v>
      </c>
      <c r="W68">
        <v>-470</v>
      </c>
      <c r="X68">
        <v>1936</v>
      </c>
      <c r="Y68">
        <v>24576.35</v>
      </c>
      <c r="Z68" s="64">
        <v>45897.597935995371</v>
      </c>
      <c r="AA68" s="75">
        <v>45897</v>
      </c>
    </row>
    <row r="69" spans="1:27" x14ac:dyDescent="0.3">
      <c r="A69" t="str">
        <f t="shared" si="2"/>
        <v>CE26300</v>
      </c>
      <c r="B69" t="str">
        <f t="shared" si="3"/>
        <v>PE26300</v>
      </c>
      <c r="C69" t="s">
        <v>163</v>
      </c>
      <c r="D69">
        <v>14518</v>
      </c>
      <c r="E69">
        <v>-945</v>
      </c>
      <c r="F69">
        <v>178882</v>
      </c>
      <c r="G69">
        <v>31.84</v>
      </c>
      <c r="H69">
        <v>0.5</v>
      </c>
      <c r="I69">
        <v>-1.35</v>
      </c>
      <c r="J69">
        <v>209775</v>
      </c>
      <c r="K69">
        <v>0.45</v>
      </c>
      <c r="L69">
        <v>0.5</v>
      </c>
      <c r="M69">
        <v>188475</v>
      </c>
      <c r="N69">
        <v>25650</v>
      </c>
      <c r="O69">
        <v>300</v>
      </c>
      <c r="P69">
        <v>1065.8499999999999</v>
      </c>
      <c r="Q69">
        <v>1069.7</v>
      </c>
      <c r="R69">
        <v>75</v>
      </c>
      <c r="S69">
        <v>226.45</v>
      </c>
      <c r="T69">
        <v>1100</v>
      </c>
      <c r="U69">
        <v>54.42</v>
      </c>
      <c r="V69">
        <v>57</v>
      </c>
      <c r="W69">
        <v>-27</v>
      </c>
      <c r="X69">
        <v>125</v>
      </c>
      <c r="Y69">
        <v>24576.35</v>
      </c>
      <c r="Z69" s="64">
        <v>45897.597935995371</v>
      </c>
      <c r="AA69" s="75">
        <v>45897</v>
      </c>
    </row>
    <row r="70" spans="1:27" x14ac:dyDescent="0.3">
      <c r="A70" t="str">
        <f t="shared" si="2"/>
        <v>CE26350</v>
      </c>
      <c r="B70" t="str">
        <f t="shared" si="3"/>
        <v>PE26350</v>
      </c>
      <c r="C70" t="s">
        <v>163</v>
      </c>
      <c r="D70">
        <v>46197</v>
      </c>
      <c r="E70">
        <v>-5081</v>
      </c>
      <c r="F70">
        <v>348689</v>
      </c>
      <c r="G70">
        <v>33.11</v>
      </c>
      <c r="H70">
        <v>0.45</v>
      </c>
      <c r="I70">
        <v>-1.4</v>
      </c>
      <c r="J70">
        <v>585900</v>
      </c>
      <c r="K70">
        <v>0.45</v>
      </c>
      <c r="L70">
        <v>0.5</v>
      </c>
      <c r="M70">
        <v>284925</v>
      </c>
      <c r="N70">
        <v>25700</v>
      </c>
      <c r="O70">
        <v>75</v>
      </c>
      <c r="P70">
        <v>1117.2</v>
      </c>
      <c r="Q70">
        <v>1120.2</v>
      </c>
      <c r="R70">
        <v>75</v>
      </c>
      <c r="S70">
        <v>154.64999999999901</v>
      </c>
      <c r="T70">
        <v>1126.5999999999999</v>
      </c>
      <c r="U70">
        <v>54.64</v>
      </c>
      <c r="V70">
        <v>592</v>
      </c>
      <c r="W70">
        <v>-59</v>
      </c>
      <c r="X70">
        <v>1151</v>
      </c>
      <c r="Y70">
        <v>24576.35</v>
      </c>
      <c r="Z70" s="64">
        <v>45897.597935995371</v>
      </c>
      <c r="AA70" s="75">
        <v>45897</v>
      </c>
    </row>
    <row r="71" spans="1:27" x14ac:dyDescent="0.3">
      <c r="A71" t="str">
        <f t="shared" si="2"/>
        <v>CE26400</v>
      </c>
      <c r="B71" t="str">
        <f t="shared" si="3"/>
        <v>PE26400</v>
      </c>
      <c r="C71" t="s">
        <v>163</v>
      </c>
      <c r="D71">
        <v>27080</v>
      </c>
      <c r="E71">
        <v>800</v>
      </c>
      <c r="F71">
        <v>182170</v>
      </c>
      <c r="G71">
        <v>34.380000000000003</v>
      </c>
      <c r="H71">
        <v>0.5</v>
      </c>
      <c r="I71">
        <v>-1.3</v>
      </c>
      <c r="J71">
        <v>479325</v>
      </c>
      <c r="K71">
        <v>0.45</v>
      </c>
      <c r="L71">
        <v>0.5</v>
      </c>
      <c r="M71">
        <v>234150</v>
      </c>
      <c r="N71">
        <v>25750</v>
      </c>
      <c r="O71">
        <v>75</v>
      </c>
      <c r="P71">
        <v>1166.6500000000001</v>
      </c>
      <c r="Q71">
        <v>1169.5999999999999</v>
      </c>
      <c r="R71">
        <v>75</v>
      </c>
      <c r="S71">
        <v>234.7</v>
      </c>
      <c r="T71">
        <v>1213.1500000000001</v>
      </c>
      <c r="U71">
        <v>65.38</v>
      </c>
      <c r="V71">
        <v>26</v>
      </c>
      <c r="W71">
        <v>-13</v>
      </c>
      <c r="X71">
        <v>127</v>
      </c>
      <c r="Y71">
        <v>24576.35</v>
      </c>
      <c r="Z71" s="64">
        <v>45897.597935995371</v>
      </c>
      <c r="AA71" s="75">
        <v>45897</v>
      </c>
    </row>
    <row r="72" spans="1:27" x14ac:dyDescent="0.3">
      <c r="A72" t="str">
        <f t="shared" si="2"/>
        <v>CE26450</v>
      </c>
      <c r="B72" t="str">
        <f t="shared" si="3"/>
        <v>PE26450</v>
      </c>
      <c r="C72" t="s">
        <v>163</v>
      </c>
      <c r="D72">
        <v>55422</v>
      </c>
      <c r="E72">
        <v>-6643</v>
      </c>
      <c r="F72">
        <v>333237</v>
      </c>
      <c r="G72">
        <v>35.35</v>
      </c>
      <c r="H72">
        <v>0.45</v>
      </c>
      <c r="I72">
        <v>-1.2</v>
      </c>
      <c r="J72">
        <v>540525</v>
      </c>
      <c r="K72">
        <v>0.4</v>
      </c>
      <c r="L72">
        <v>0.45</v>
      </c>
      <c r="M72">
        <v>400800</v>
      </c>
      <c r="N72">
        <v>25800</v>
      </c>
      <c r="O72">
        <v>150</v>
      </c>
      <c r="P72">
        <v>1217.6500000000001</v>
      </c>
      <c r="Q72">
        <v>1220.3</v>
      </c>
      <c r="R72">
        <v>75</v>
      </c>
      <c r="S72">
        <v>148.849999999999</v>
      </c>
      <c r="T72">
        <v>1220</v>
      </c>
      <c r="U72">
        <v>56.13</v>
      </c>
      <c r="V72">
        <v>954</v>
      </c>
      <c r="W72">
        <v>-298</v>
      </c>
      <c r="X72">
        <v>963</v>
      </c>
      <c r="Y72">
        <v>24576.35</v>
      </c>
      <c r="Z72" s="64">
        <v>45897.597935995371</v>
      </c>
      <c r="AA72" s="75">
        <v>45897</v>
      </c>
    </row>
    <row r="73" spans="1:27" x14ac:dyDescent="0.3">
      <c r="A73" t="str">
        <f t="shared" si="2"/>
        <v>CE26500</v>
      </c>
      <c r="B73" t="str">
        <f t="shared" si="3"/>
        <v>PE26500</v>
      </c>
      <c r="C73" t="s">
        <v>163</v>
      </c>
      <c r="D73">
        <v>11036</v>
      </c>
      <c r="E73">
        <v>2318</v>
      </c>
      <c r="F73">
        <v>106382</v>
      </c>
      <c r="G73">
        <v>36.6</v>
      </c>
      <c r="H73">
        <v>0.45</v>
      </c>
      <c r="I73">
        <v>-1.2</v>
      </c>
      <c r="J73">
        <v>192375</v>
      </c>
      <c r="K73">
        <v>0.4</v>
      </c>
      <c r="L73">
        <v>0.45</v>
      </c>
      <c r="M73">
        <v>159075</v>
      </c>
      <c r="N73">
        <v>25850</v>
      </c>
      <c r="O73">
        <v>75</v>
      </c>
      <c r="P73">
        <v>1265.0999999999999</v>
      </c>
      <c r="Q73">
        <v>1271.3</v>
      </c>
      <c r="R73">
        <v>300</v>
      </c>
      <c r="S73">
        <v>196.85</v>
      </c>
      <c r="T73">
        <v>1316.4</v>
      </c>
      <c r="U73">
        <v>70.989999999999995</v>
      </c>
      <c r="V73">
        <v>25</v>
      </c>
      <c r="W73">
        <v>-8</v>
      </c>
      <c r="X73">
        <v>110</v>
      </c>
      <c r="Y73">
        <v>24576.35</v>
      </c>
      <c r="Z73" s="64">
        <v>45897.597935995371</v>
      </c>
      <c r="AA73" s="75">
        <v>45897</v>
      </c>
    </row>
    <row r="74" spans="1:27" x14ac:dyDescent="0.3">
      <c r="A74" t="str">
        <f t="shared" si="2"/>
        <v>CE26550</v>
      </c>
      <c r="B74" t="str">
        <f t="shared" si="3"/>
        <v>PE26550</v>
      </c>
      <c r="C74" t="s">
        <v>163</v>
      </c>
      <c r="D74">
        <v>32241</v>
      </c>
      <c r="E74">
        <v>-8516</v>
      </c>
      <c r="F74">
        <v>221410</v>
      </c>
      <c r="G74">
        <v>37.5</v>
      </c>
      <c r="H74">
        <v>0.35</v>
      </c>
      <c r="I74">
        <v>-1.1000000000000001</v>
      </c>
      <c r="J74">
        <v>725250</v>
      </c>
      <c r="K74">
        <v>0.35</v>
      </c>
      <c r="L74">
        <v>0.4</v>
      </c>
      <c r="M74">
        <v>361950</v>
      </c>
      <c r="N74">
        <v>25900</v>
      </c>
      <c r="O74">
        <v>75</v>
      </c>
      <c r="P74">
        <v>1317.2</v>
      </c>
      <c r="Q74">
        <v>1321.35</v>
      </c>
      <c r="R74">
        <v>300</v>
      </c>
      <c r="S74">
        <v>158.599999999999</v>
      </c>
      <c r="T74">
        <v>1322</v>
      </c>
      <c r="U74">
        <v>72.02</v>
      </c>
      <c r="V74">
        <v>153</v>
      </c>
      <c r="W74">
        <v>-2</v>
      </c>
      <c r="X74">
        <v>698</v>
      </c>
      <c r="Y74">
        <v>24576.35</v>
      </c>
      <c r="Z74" s="64">
        <v>45897.597935995371</v>
      </c>
      <c r="AA74" s="75">
        <v>45897</v>
      </c>
    </row>
    <row r="75" spans="1:27" x14ac:dyDescent="0.3">
      <c r="A75" t="str">
        <f t="shared" si="2"/>
        <v>CE26600</v>
      </c>
      <c r="B75" t="str">
        <f t="shared" si="3"/>
        <v>PE26600</v>
      </c>
      <c r="C75" t="s">
        <v>163</v>
      </c>
      <c r="D75">
        <v>10985</v>
      </c>
      <c r="E75">
        <v>-574</v>
      </c>
      <c r="F75">
        <v>81289</v>
      </c>
      <c r="G75">
        <v>38.35</v>
      </c>
      <c r="H75">
        <v>0.3</v>
      </c>
      <c r="I75">
        <v>-1.25</v>
      </c>
      <c r="J75">
        <v>299250</v>
      </c>
      <c r="K75">
        <v>0.3</v>
      </c>
      <c r="L75">
        <v>0.35</v>
      </c>
      <c r="M75">
        <v>149400</v>
      </c>
      <c r="N75">
        <v>25950</v>
      </c>
      <c r="O75">
        <v>225</v>
      </c>
      <c r="P75">
        <v>1364.8</v>
      </c>
      <c r="Q75">
        <v>1376.3</v>
      </c>
      <c r="R75">
        <v>300</v>
      </c>
      <c r="S75">
        <v>74.45</v>
      </c>
      <c r="T75">
        <v>1294.45</v>
      </c>
      <c r="U75">
        <v>0</v>
      </c>
      <c r="V75">
        <v>16</v>
      </c>
      <c r="W75">
        <v>-5</v>
      </c>
      <c r="X75">
        <v>60</v>
      </c>
      <c r="Y75">
        <v>24576.35</v>
      </c>
      <c r="Z75" s="64">
        <v>45897.597935995371</v>
      </c>
      <c r="AA75" s="75">
        <v>45897</v>
      </c>
    </row>
    <row r="76" spans="1:27" x14ac:dyDescent="0.3">
      <c r="A76" t="str">
        <f t="shared" si="2"/>
        <v>CE26650</v>
      </c>
      <c r="B76" t="str">
        <f t="shared" si="3"/>
        <v>PE26650</v>
      </c>
      <c r="C76" t="s">
        <v>163</v>
      </c>
      <c r="D76">
        <v>120094</v>
      </c>
      <c r="E76">
        <v>-11139</v>
      </c>
      <c r="F76">
        <v>539391</v>
      </c>
      <c r="G76">
        <v>39.94</v>
      </c>
      <c r="H76">
        <v>0.3</v>
      </c>
      <c r="I76">
        <v>-1.05</v>
      </c>
      <c r="J76">
        <v>1139775</v>
      </c>
      <c r="K76">
        <v>0.3</v>
      </c>
      <c r="L76">
        <v>0.35</v>
      </c>
      <c r="M76">
        <v>368775</v>
      </c>
      <c r="N76">
        <v>26000</v>
      </c>
      <c r="O76">
        <v>300</v>
      </c>
      <c r="P76">
        <v>1416.25</v>
      </c>
      <c r="Q76">
        <v>1419.35</v>
      </c>
      <c r="R76">
        <v>300</v>
      </c>
      <c r="S76">
        <v>145.1</v>
      </c>
      <c r="T76">
        <v>1414.9</v>
      </c>
      <c r="U76">
        <v>63.73</v>
      </c>
      <c r="V76">
        <v>5554</v>
      </c>
      <c r="W76">
        <v>-48</v>
      </c>
      <c r="X76">
        <v>10044</v>
      </c>
      <c r="Y76">
        <v>24576.35</v>
      </c>
      <c r="Z76" s="64">
        <v>45897.597935995371</v>
      </c>
      <c r="AA76" s="75">
        <v>45897</v>
      </c>
    </row>
    <row r="77" spans="1:27" x14ac:dyDescent="0.3">
      <c r="A77" t="str">
        <f>"CE"&amp;N77</f>
        <v>CE26050</v>
      </c>
      <c r="B77" t="str">
        <f>"PE"&amp;N77</f>
        <v>PE26050</v>
      </c>
      <c r="C77" t="s">
        <v>163</v>
      </c>
      <c r="D77">
        <v>8850</v>
      </c>
      <c r="E77">
        <v>-1444</v>
      </c>
      <c r="F77">
        <v>67403</v>
      </c>
      <c r="G77">
        <v>40.770000000000003</v>
      </c>
      <c r="H77">
        <v>0.35</v>
      </c>
      <c r="I77">
        <v>-1.1000000000000001</v>
      </c>
      <c r="J77">
        <v>118050</v>
      </c>
      <c r="K77">
        <v>0.35</v>
      </c>
      <c r="L77">
        <v>0.4</v>
      </c>
      <c r="M77">
        <v>81225</v>
      </c>
      <c r="N77">
        <v>26050</v>
      </c>
      <c r="O77">
        <v>300</v>
      </c>
      <c r="P77">
        <v>1456.85</v>
      </c>
      <c r="Q77">
        <v>1470.35</v>
      </c>
      <c r="R77">
        <v>75</v>
      </c>
      <c r="S77">
        <v>472.45</v>
      </c>
      <c r="T77">
        <v>1507.95</v>
      </c>
      <c r="U77">
        <v>74.28</v>
      </c>
      <c r="V77">
        <v>3</v>
      </c>
      <c r="W77">
        <v>-1</v>
      </c>
      <c r="X77">
        <v>64</v>
      </c>
      <c r="Y77">
        <v>24576.35</v>
      </c>
      <c r="Z77" s="64">
        <v>45897.597935995371</v>
      </c>
      <c r="AA77" s="75">
        <v>45897</v>
      </c>
    </row>
    <row r="78" spans="1:27" x14ac:dyDescent="0.3">
      <c r="A78" t="str">
        <f t="shared" ref="A78:A89" si="4">"CE"&amp;N78</f>
        <v>CE26100</v>
      </c>
      <c r="B78" t="str">
        <f t="shared" ref="B78:B89" si="5">"PE"&amp;N78</f>
        <v>PE26100</v>
      </c>
      <c r="C78" t="s">
        <v>163</v>
      </c>
      <c r="D78">
        <v>17472</v>
      </c>
      <c r="E78">
        <v>641</v>
      </c>
      <c r="F78">
        <v>119941</v>
      </c>
      <c r="G78">
        <v>41.53</v>
      </c>
      <c r="H78">
        <v>0.35</v>
      </c>
      <c r="I78">
        <v>-1.1000000000000001</v>
      </c>
      <c r="J78">
        <v>274800</v>
      </c>
      <c r="K78">
        <v>0.35</v>
      </c>
      <c r="L78">
        <v>0.4</v>
      </c>
      <c r="M78">
        <v>246075</v>
      </c>
      <c r="N78">
        <v>26100</v>
      </c>
      <c r="O78">
        <v>225</v>
      </c>
      <c r="P78">
        <v>1509.65</v>
      </c>
      <c r="Q78">
        <v>1521</v>
      </c>
      <c r="R78">
        <v>75</v>
      </c>
      <c r="S78">
        <v>173.25</v>
      </c>
      <c r="T78">
        <v>1550</v>
      </c>
      <c r="U78">
        <v>71.010000000000005</v>
      </c>
      <c r="V78">
        <v>63</v>
      </c>
      <c r="W78">
        <v>-23</v>
      </c>
      <c r="X78">
        <v>261</v>
      </c>
      <c r="Y78">
        <v>24576.35</v>
      </c>
      <c r="Z78" s="64">
        <v>45897.597935995371</v>
      </c>
      <c r="AA78" s="75">
        <v>45897</v>
      </c>
    </row>
    <row r="79" spans="1:27" x14ac:dyDescent="0.3">
      <c r="A79" t="str">
        <f t="shared" si="4"/>
        <v>CE26150</v>
      </c>
      <c r="B79" t="str">
        <f t="shared" si="5"/>
        <v>PE26150</v>
      </c>
      <c r="C79" t="s">
        <v>163</v>
      </c>
      <c r="D79">
        <v>3852</v>
      </c>
      <c r="E79">
        <v>269</v>
      </c>
      <c r="F79">
        <v>46478</v>
      </c>
      <c r="G79">
        <v>42.72</v>
      </c>
      <c r="H79">
        <v>0.35</v>
      </c>
      <c r="I79">
        <v>-1.1499999999999999</v>
      </c>
      <c r="J79">
        <v>72975</v>
      </c>
      <c r="K79">
        <v>0.35</v>
      </c>
      <c r="L79">
        <v>0.4</v>
      </c>
      <c r="M79">
        <v>77475</v>
      </c>
      <c r="N79">
        <v>26150</v>
      </c>
      <c r="O79">
        <v>225</v>
      </c>
      <c r="P79">
        <v>1565.05</v>
      </c>
      <c r="Q79">
        <v>1573.75</v>
      </c>
      <c r="R79">
        <v>75</v>
      </c>
      <c r="S79">
        <v>354.54999999999899</v>
      </c>
      <c r="T79">
        <v>1519.3</v>
      </c>
      <c r="U79">
        <v>0</v>
      </c>
      <c r="V79">
        <v>4</v>
      </c>
      <c r="W79">
        <v>0</v>
      </c>
      <c r="X79">
        <v>73</v>
      </c>
      <c r="Y79">
        <v>24576.35</v>
      </c>
      <c r="Z79" s="64">
        <v>45897.597935995371</v>
      </c>
      <c r="AA79" s="75">
        <v>45897</v>
      </c>
    </row>
    <row r="80" spans="1:27" x14ac:dyDescent="0.3">
      <c r="A80" t="str">
        <f t="shared" si="4"/>
        <v>CE26200</v>
      </c>
      <c r="B80" t="str">
        <f t="shared" si="5"/>
        <v>PE26200</v>
      </c>
      <c r="C80" t="s">
        <v>163</v>
      </c>
      <c r="D80">
        <v>22084</v>
      </c>
      <c r="E80">
        <v>-1287</v>
      </c>
      <c r="F80">
        <v>97672</v>
      </c>
      <c r="G80">
        <v>43.4</v>
      </c>
      <c r="H80">
        <v>0.3</v>
      </c>
      <c r="I80">
        <v>-1.25</v>
      </c>
      <c r="J80">
        <v>467550</v>
      </c>
      <c r="K80">
        <v>0.3</v>
      </c>
      <c r="L80">
        <v>0.35</v>
      </c>
      <c r="M80">
        <v>241950</v>
      </c>
      <c r="N80">
        <v>26200</v>
      </c>
      <c r="O80">
        <v>75</v>
      </c>
      <c r="P80">
        <v>1617</v>
      </c>
      <c r="Q80">
        <v>1622.55</v>
      </c>
      <c r="R80">
        <v>75</v>
      </c>
      <c r="S80">
        <v>174.5</v>
      </c>
      <c r="T80">
        <v>1648.15</v>
      </c>
      <c r="U80">
        <v>73.16</v>
      </c>
      <c r="V80">
        <v>90</v>
      </c>
      <c r="W80">
        <v>-31</v>
      </c>
      <c r="X80">
        <v>109</v>
      </c>
      <c r="Y80">
        <v>24576.35</v>
      </c>
      <c r="Z80" s="64">
        <v>45897.597935995371</v>
      </c>
      <c r="AA80" s="75">
        <v>45897</v>
      </c>
    </row>
    <row r="81" spans="1:27" x14ac:dyDescent="0.3">
      <c r="A81" t="str">
        <f t="shared" si="4"/>
        <v>CE26250</v>
      </c>
      <c r="B81" t="str">
        <f t="shared" si="5"/>
        <v>PE26250</v>
      </c>
      <c r="C81" t="s">
        <v>163</v>
      </c>
      <c r="D81">
        <v>4653</v>
      </c>
      <c r="E81">
        <v>1234</v>
      </c>
      <c r="F81">
        <v>48929</v>
      </c>
      <c r="G81">
        <v>45.06</v>
      </c>
      <c r="H81">
        <v>0.3</v>
      </c>
      <c r="I81">
        <v>-1</v>
      </c>
      <c r="J81">
        <v>92775</v>
      </c>
      <c r="K81">
        <v>0.3</v>
      </c>
      <c r="L81">
        <v>0.35</v>
      </c>
      <c r="M81">
        <v>66300</v>
      </c>
      <c r="N81">
        <v>26250</v>
      </c>
      <c r="O81">
        <v>75</v>
      </c>
      <c r="P81">
        <v>1659.9</v>
      </c>
      <c r="Q81">
        <v>1674</v>
      </c>
      <c r="R81">
        <v>75</v>
      </c>
      <c r="S81">
        <v>380.04999999999899</v>
      </c>
      <c r="T81">
        <v>1705.2</v>
      </c>
      <c r="U81">
        <v>79.94</v>
      </c>
      <c r="V81">
        <v>3</v>
      </c>
      <c r="W81">
        <v>0</v>
      </c>
      <c r="X81">
        <v>53</v>
      </c>
      <c r="Y81">
        <v>24576.35</v>
      </c>
      <c r="Z81" s="64">
        <v>45897.597935995371</v>
      </c>
      <c r="AA81" s="75">
        <v>45897</v>
      </c>
    </row>
    <row r="82" spans="1:27" x14ac:dyDescent="0.3">
      <c r="A82" t="str">
        <f t="shared" si="4"/>
        <v>CE26300</v>
      </c>
      <c r="B82" t="str">
        <f t="shared" si="5"/>
        <v>PE26300</v>
      </c>
      <c r="C82" t="s">
        <v>163</v>
      </c>
      <c r="D82">
        <v>26799</v>
      </c>
      <c r="E82">
        <v>759</v>
      </c>
      <c r="F82">
        <v>66993</v>
      </c>
      <c r="G82">
        <v>46.23</v>
      </c>
      <c r="H82">
        <v>0.3</v>
      </c>
      <c r="I82">
        <v>-0.95</v>
      </c>
      <c r="J82">
        <v>388800</v>
      </c>
      <c r="K82">
        <v>0.3</v>
      </c>
      <c r="L82">
        <v>0.35</v>
      </c>
      <c r="M82">
        <v>234525</v>
      </c>
      <c r="N82">
        <v>26300</v>
      </c>
      <c r="O82">
        <v>150</v>
      </c>
      <c r="P82">
        <v>1715.75</v>
      </c>
      <c r="Q82">
        <v>1727</v>
      </c>
      <c r="R82">
        <v>75</v>
      </c>
      <c r="S82">
        <v>130.349999999999</v>
      </c>
      <c r="T82">
        <v>1711.6</v>
      </c>
      <c r="U82">
        <v>0</v>
      </c>
      <c r="V82">
        <v>83</v>
      </c>
      <c r="W82">
        <v>-32</v>
      </c>
      <c r="X82">
        <v>88</v>
      </c>
      <c r="Y82">
        <v>24576.35</v>
      </c>
      <c r="Z82" s="64">
        <v>45897.597935995371</v>
      </c>
      <c r="AA82" s="75">
        <v>45897</v>
      </c>
    </row>
    <row r="83" spans="1:27" x14ac:dyDescent="0.3">
      <c r="A83" t="str">
        <f t="shared" si="4"/>
        <v>CE26350</v>
      </c>
      <c r="B83" t="str">
        <f t="shared" si="5"/>
        <v>PE26350</v>
      </c>
      <c r="C83" t="s">
        <v>163</v>
      </c>
      <c r="D83">
        <v>7360</v>
      </c>
      <c r="E83">
        <v>-777</v>
      </c>
      <c r="F83">
        <v>57185</v>
      </c>
      <c r="G83">
        <v>46.87</v>
      </c>
      <c r="H83">
        <v>0.3</v>
      </c>
      <c r="I83">
        <v>-0.84999999999999898</v>
      </c>
      <c r="J83">
        <v>137925</v>
      </c>
      <c r="K83">
        <v>0.3</v>
      </c>
      <c r="L83">
        <v>0.35</v>
      </c>
      <c r="M83">
        <v>103800</v>
      </c>
      <c r="N83">
        <v>26350</v>
      </c>
      <c r="O83">
        <v>300</v>
      </c>
      <c r="P83">
        <v>1756.9</v>
      </c>
      <c r="Q83">
        <v>1774.9</v>
      </c>
      <c r="R83">
        <v>300</v>
      </c>
      <c r="S83">
        <v>0</v>
      </c>
      <c r="T83">
        <v>0</v>
      </c>
      <c r="U83">
        <v>0</v>
      </c>
      <c r="V83">
        <v>0</v>
      </c>
      <c r="W83">
        <v>0</v>
      </c>
      <c r="X83">
        <v>62</v>
      </c>
      <c r="Y83">
        <v>24576.35</v>
      </c>
      <c r="Z83" s="64">
        <v>45897.597935995371</v>
      </c>
      <c r="AA83" s="75">
        <v>45897</v>
      </c>
    </row>
    <row r="84" spans="1:27" x14ac:dyDescent="0.3">
      <c r="A84" t="str">
        <f t="shared" si="4"/>
        <v>CE26400</v>
      </c>
      <c r="B84" t="str">
        <f t="shared" si="5"/>
        <v>PE26400</v>
      </c>
      <c r="C84" t="s">
        <v>163</v>
      </c>
      <c r="D84">
        <v>20531</v>
      </c>
      <c r="E84">
        <v>-1258</v>
      </c>
      <c r="F84">
        <v>78486</v>
      </c>
      <c r="G84">
        <v>48.55</v>
      </c>
      <c r="H84">
        <v>0.35</v>
      </c>
      <c r="I84">
        <v>-0.9</v>
      </c>
      <c r="J84">
        <v>252450</v>
      </c>
      <c r="K84">
        <v>0.35</v>
      </c>
      <c r="L84">
        <v>0.4</v>
      </c>
      <c r="M84">
        <v>98925</v>
      </c>
      <c r="N84">
        <v>26400</v>
      </c>
      <c r="O84">
        <v>150</v>
      </c>
      <c r="P84">
        <v>1813.4</v>
      </c>
      <c r="Q84">
        <v>1831.45</v>
      </c>
      <c r="R84">
        <v>225</v>
      </c>
      <c r="S84">
        <v>38.450000000000003</v>
      </c>
      <c r="T84">
        <v>1716.05</v>
      </c>
      <c r="U84">
        <v>0</v>
      </c>
      <c r="V84">
        <v>3</v>
      </c>
      <c r="W84">
        <v>-2</v>
      </c>
      <c r="X84">
        <v>57</v>
      </c>
      <c r="Y84">
        <v>24576.35</v>
      </c>
      <c r="Z84" s="64">
        <v>45897.597935995371</v>
      </c>
      <c r="AA84" s="75">
        <v>45897</v>
      </c>
    </row>
    <row r="85" spans="1:27" x14ac:dyDescent="0.3">
      <c r="A85" t="str">
        <f t="shared" si="4"/>
        <v>CE26450</v>
      </c>
      <c r="B85" t="str">
        <f t="shared" si="5"/>
        <v>PE26450</v>
      </c>
      <c r="C85" t="s">
        <v>163</v>
      </c>
      <c r="D85">
        <v>7234</v>
      </c>
      <c r="E85">
        <v>-266</v>
      </c>
      <c r="F85">
        <v>41886</v>
      </c>
      <c r="G85">
        <v>48.56</v>
      </c>
      <c r="H85">
        <v>0.3</v>
      </c>
      <c r="I85">
        <v>-0.84999999999999898</v>
      </c>
      <c r="J85">
        <v>109800</v>
      </c>
      <c r="K85">
        <v>0.3</v>
      </c>
      <c r="L85">
        <v>0.35</v>
      </c>
      <c r="M85">
        <v>104400</v>
      </c>
      <c r="N85">
        <v>26450</v>
      </c>
      <c r="O85">
        <v>300</v>
      </c>
      <c r="P85">
        <v>1853.9</v>
      </c>
      <c r="Q85">
        <v>1884.55</v>
      </c>
      <c r="R85">
        <v>300</v>
      </c>
      <c r="S85">
        <v>0</v>
      </c>
      <c r="T85">
        <v>0</v>
      </c>
      <c r="U85">
        <v>0</v>
      </c>
      <c r="V85">
        <v>0</v>
      </c>
      <c r="W85">
        <v>0</v>
      </c>
      <c r="X85">
        <v>22</v>
      </c>
      <c r="Y85">
        <v>24576.35</v>
      </c>
      <c r="Z85" s="64">
        <v>45897.597935995371</v>
      </c>
      <c r="AA85" s="75">
        <v>45897</v>
      </c>
    </row>
    <row r="86" spans="1:27" x14ac:dyDescent="0.3">
      <c r="A86" t="str">
        <f t="shared" si="4"/>
        <v>CE26500</v>
      </c>
      <c r="B86" t="str">
        <f t="shared" si="5"/>
        <v>PE26500</v>
      </c>
      <c r="C86" t="s">
        <v>163</v>
      </c>
      <c r="D86">
        <v>68793</v>
      </c>
      <c r="E86">
        <v>8658</v>
      </c>
      <c r="F86">
        <v>188985</v>
      </c>
      <c r="G86">
        <v>50.29</v>
      </c>
      <c r="H86">
        <v>0.35</v>
      </c>
      <c r="I86">
        <v>-0.9</v>
      </c>
      <c r="J86">
        <v>381975</v>
      </c>
      <c r="K86">
        <v>0.35</v>
      </c>
      <c r="L86">
        <v>0.4</v>
      </c>
      <c r="M86">
        <v>285375</v>
      </c>
      <c r="N86">
        <v>26500</v>
      </c>
      <c r="O86">
        <v>75</v>
      </c>
      <c r="P86">
        <v>1917.85</v>
      </c>
      <c r="Q86">
        <v>1921.45</v>
      </c>
      <c r="R86">
        <v>75</v>
      </c>
      <c r="S86">
        <v>152.65</v>
      </c>
      <c r="T86">
        <v>1925.15</v>
      </c>
      <c r="U86">
        <v>82.18</v>
      </c>
      <c r="V86">
        <v>1907</v>
      </c>
      <c r="W86">
        <v>-754</v>
      </c>
      <c r="X86">
        <v>4784</v>
      </c>
      <c r="Y86">
        <v>24576.35</v>
      </c>
      <c r="Z86" s="64">
        <v>45897.597935995371</v>
      </c>
      <c r="AA86" s="75">
        <v>45897</v>
      </c>
    </row>
    <row r="87" spans="1:27" x14ac:dyDescent="0.3">
      <c r="A87" t="str">
        <f t="shared" si="4"/>
        <v>CE26550</v>
      </c>
      <c r="B87" t="str">
        <f t="shared" si="5"/>
        <v>PE26550</v>
      </c>
      <c r="C87" t="s">
        <v>163</v>
      </c>
      <c r="D87">
        <v>1725</v>
      </c>
      <c r="E87">
        <v>-2018</v>
      </c>
      <c r="F87">
        <v>47165</v>
      </c>
      <c r="G87">
        <v>51.43</v>
      </c>
      <c r="H87">
        <v>0.4</v>
      </c>
      <c r="I87">
        <v>-0.7</v>
      </c>
      <c r="J87">
        <v>60900</v>
      </c>
      <c r="K87">
        <v>0.35</v>
      </c>
      <c r="L87">
        <v>0.4</v>
      </c>
      <c r="M87">
        <v>40275</v>
      </c>
      <c r="N87">
        <v>26550</v>
      </c>
      <c r="O87">
        <v>300</v>
      </c>
      <c r="P87">
        <v>1955.7</v>
      </c>
      <c r="Q87">
        <v>1977.9</v>
      </c>
      <c r="R87">
        <v>300</v>
      </c>
      <c r="S87">
        <v>0</v>
      </c>
      <c r="T87">
        <v>0</v>
      </c>
      <c r="U87">
        <v>0</v>
      </c>
      <c r="V87">
        <v>0</v>
      </c>
      <c r="W87">
        <v>0</v>
      </c>
      <c r="X87">
        <v>32</v>
      </c>
      <c r="Y87">
        <v>24576.35</v>
      </c>
      <c r="Z87" s="64">
        <v>45897.597935995371</v>
      </c>
      <c r="AA87" s="75">
        <v>45897</v>
      </c>
    </row>
    <row r="88" spans="1:27" x14ac:dyDescent="0.3">
      <c r="A88" t="str">
        <f t="shared" si="4"/>
        <v>CE26600</v>
      </c>
      <c r="B88" t="str">
        <f t="shared" si="5"/>
        <v>PE26600</v>
      </c>
      <c r="C88" t="s">
        <v>163</v>
      </c>
      <c r="D88">
        <v>20212</v>
      </c>
      <c r="E88">
        <v>-2671</v>
      </c>
      <c r="F88">
        <v>93576</v>
      </c>
      <c r="G88">
        <v>53.13</v>
      </c>
      <c r="H88">
        <v>0.35</v>
      </c>
      <c r="I88">
        <v>-1.0499999999999901</v>
      </c>
      <c r="J88">
        <v>347400</v>
      </c>
      <c r="K88">
        <v>0.35</v>
      </c>
      <c r="L88">
        <v>0.4</v>
      </c>
      <c r="M88">
        <v>227100</v>
      </c>
      <c r="N88">
        <v>26600</v>
      </c>
      <c r="O88">
        <v>75</v>
      </c>
      <c r="P88">
        <v>2015.9</v>
      </c>
      <c r="Q88">
        <v>2026.35</v>
      </c>
      <c r="R88">
        <v>75</v>
      </c>
      <c r="S88">
        <v>58.349999999999902</v>
      </c>
      <c r="T88">
        <v>1938</v>
      </c>
      <c r="U88">
        <v>0</v>
      </c>
      <c r="V88">
        <v>11</v>
      </c>
      <c r="W88">
        <v>0</v>
      </c>
      <c r="X88">
        <v>46</v>
      </c>
      <c r="Y88">
        <v>24576.35</v>
      </c>
      <c r="Z88" s="64">
        <v>45897.597935995371</v>
      </c>
      <c r="AA88" s="75">
        <v>45897</v>
      </c>
    </row>
    <row r="89" spans="1:27" x14ac:dyDescent="0.3">
      <c r="A89" t="str">
        <f t="shared" si="4"/>
        <v>CE26650</v>
      </c>
      <c r="B89" t="str">
        <f t="shared" si="5"/>
        <v>PE26650</v>
      </c>
      <c r="C89" t="s">
        <v>163</v>
      </c>
      <c r="D89">
        <v>2868</v>
      </c>
      <c r="E89">
        <v>552</v>
      </c>
      <c r="F89">
        <v>28382</v>
      </c>
      <c r="G89">
        <v>53.03</v>
      </c>
      <c r="H89">
        <v>0.3</v>
      </c>
      <c r="I89">
        <v>-0.89999999999999902</v>
      </c>
      <c r="J89">
        <v>43425</v>
      </c>
      <c r="K89">
        <v>0.3</v>
      </c>
      <c r="L89">
        <v>0.35</v>
      </c>
      <c r="M89">
        <v>30300</v>
      </c>
      <c r="N89">
        <v>26650</v>
      </c>
      <c r="O89">
        <v>300</v>
      </c>
      <c r="P89">
        <v>2060.5</v>
      </c>
      <c r="Q89">
        <v>2085.6</v>
      </c>
      <c r="R89">
        <v>300</v>
      </c>
      <c r="S89">
        <v>0</v>
      </c>
      <c r="T89">
        <v>0</v>
      </c>
      <c r="U89">
        <v>0</v>
      </c>
      <c r="V89">
        <v>0</v>
      </c>
      <c r="W89">
        <v>0</v>
      </c>
      <c r="X89">
        <v>23</v>
      </c>
      <c r="Y89">
        <v>24576.35</v>
      </c>
      <c r="Z89" s="64">
        <v>45897.597935995371</v>
      </c>
      <c r="AA89" s="75">
        <v>45897</v>
      </c>
    </row>
    <row r="90" spans="1:27" x14ac:dyDescent="0.3">
      <c r="A90" t="str">
        <f>"CE"&amp;N90</f>
        <v>CE26700</v>
      </c>
      <c r="B90" t="str">
        <f>"PE"&amp;N90</f>
        <v>PE26700</v>
      </c>
      <c r="C90" t="s">
        <v>163</v>
      </c>
      <c r="D90">
        <v>11499</v>
      </c>
      <c r="E90">
        <v>-441</v>
      </c>
      <c r="F90">
        <v>47515</v>
      </c>
      <c r="G90">
        <v>54.8</v>
      </c>
      <c r="H90">
        <v>0.35</v>
      </c>
      <c r="I90">
        <v>-0.95</v>
      </c>
      <c r="J90">
        <v>160800</v>
      </c>
      <c r="K90">
        <v>0.3</v>
      </c>
      <c r="L90">
        <v>0.35</v>
      </c>
      <c r="M90">
        <v>89250</v>
      </c>
      <c r="N90">
        <v>26700</v>
      </c>
      <c r="O90">
        <v>225</v>
      </c>
      <c r="P90">
        <v>2114.9499999999998</v>
      </c>
      <c r="Q90">
        <v>2126.85</v>
      </c>
      <c r="R90">
        <v>225</v>
      </c>
      <c r="S90">
        <v>116.549999999999</v>
      </c>
      <c r="T90">
        <v>2085</v>
      </c>
      <c r="U90">
        <v>0</v>
      </c>
      <c r="V90">
        <v>2</v>
      </c>
      <c r="W90">
        <v>0</v>
      </c>
      <c r="X90">
        <v>36</v>
      </c>
      <c r="Y90">
        <v>24576.35</v>
      </c>
      <c r="Z90" s="64">
        <v>45897.597935995371</v>
      </c>
      <c r="AA90" s="75">
        <v>45897</v>
      </c>
    </row>
    <row r="91" spans="1:27" x14ac:dyDescent="0.3">
      <c r="A91" t="str">
        <f t="shared" ref="A91:A103" si="6">"CE"&amp;N91</f>
        <v>CE26750</v>
      </c>
      <c r="B91" t="str">
        <f t="shared" ref="B91:B103" si="7">"PE"&amp;N91</f>
        <v>PE26750</v>
      </c>
      <c r="C91" t="s">
        <v>163</v>
      </c>
      <c r="D91">
        <v>1223</v>
      </c>
      <c r="E91">
        <v>507</v>
      </c>
      <c r="F91">
        <v>20562</v>
      </c>
      <c r="G91">
        <v>55.25</v>
      </c>
      <c r="H91">
        <v>0.3</v>
      </c>
      <c r="I91">
        <v>-0.95</v>
      </c>
      <c r="J91">
        <v>43875</v>
      </c>
      <c r="K91">
        <v>0.25</v>
      </c>
      <c r="L91">
        <v>0.3</v>
      </c>
      <c r="M91">
        <v>23775</v>
      </c>
      <c r="N91">
        <v>26750</v>
      </c>
      <c r="O91">
        <v>300</v>
      </c>
      <c r="P91">
        <v>2154.5500000000002</v>
      </c>
      <c r="Q91">
        <v>2189.5500000000002</v>
      </c>
      <c r="R91">
        <v>300</v>
      </c>
      <c r="S91">
        <v>0</v>
      </c>
      <c r="T91">
        <v>0</v>
      </c>
      <c r="U91">
        <v>0</v>
      </c>
      <c r="V91">
        <v>0</v>
      </c>
      <c r="W91">
        <v>0</v>
      </c>
      <c r="X91">
        <v>12</v>
      </c>
      <c r="Y91">
        <v>24576.35</v>
      </c>
      <c r="Z91" s="64">
        <v>45897.597935995371</v>
      </c>
      <c r="AA91" s="75">
        <v>45897</v>
      </c>
    </row>
    <row r="92" spans="1:27" x14ac:dyDescent="0.3">
      <c r="A92" t="str">
        <f t="shared" si="6"/>
        <v>CE26800</v>
      </c>
      <c r="B92" t="str">
        <f t="shared" si="7"/>
        <v>PE26800</v>
      </c>
      <c r="C92" t="s">
        <v>163</v>
      </c>
      <c r="D92">
        <v>3766</v>
      </c>
      <c r="E92">
        <v>-301</v>
      </c>
      <c r="F92">
        <v>45921</v>
      </c>
      <c r="G92">
        <v>55.59</v>
      </c>
      <c r="H92">
        <v>0.3</v>
      </c>
      <c r="I92">
        <v>-0.75</v>
      </c>
      <c r="J92">
        <v>128850</v>
      </c>
      <c r="K92">
        <v>0.25</v>
      </c>
      <c r="L92">
        <v>0.3</v>
      </c>
      <c r="M92">
        <v>38100</v>
      </c>
      <c r="N92">
        <v>26800</v>
      </c>
      <c r="O92">
        <v>300</v>
      </c>
      <c r="P92">
        <v>2208.0500000000002</v>
      </c>
      <c r="Q92">
        <v>2233.6</v>
      </c>
      <c r="R92">
        <v>75</v>
      </c>
      <c r="S92">
        <v>0</v>
      </c>
      <c r="T92">
        <v>0</v>
      </c>
      <c r="U92">
        <v>0</v>
      </c>
      <c r="V92">
        <v>0</v>
      </c>
      <c r="W92">
        <v>0</v>
      </c>
      <c r="X92">
        <v>39</v>
      </c>
      <c r="Y92">
        <v>24576.35</v>
      </c>
      <c r="Z92" s="64">
        <v>45897.597935995371</v>
      </c>
      <c r="AA92" s="75">
        <v>45897</v>
      </c>
    </row>
    <row r="93" spans="1:27" x14ac:dyDescent="0.3">
      <c r="A93" t="str">
        <f t="shared" si="6"/>
        <v>CE26850</v>
      </c>
      <c r="B93" t="str">
        <f t="shared" si="7"/>
        <v>PE26850</v>
      </c>
      <c r="C93" t="s">
        <v>163</v>
      </c>
      <c r="D93">
        <v>1015</v>
      </c>
      <c r="E93">
        <v>321</v>
      </c>
      <c r="F93">
        <v>14178</v>
      </c>
      <c r="G93">
        <v>57.44</v>
      </c>
      <c r="H93">
        <v>0.35</v>
      </c>
      <c r="I93">
        <v>-0.79999999999999905</v>
      </c>
      <c r="J93">
        <v>11400</v>
      </c>
      <c r="K93">
        <v>0.3</v>
      </c>
      <c r="L93">
        <v>0.35</v>
      </c>
      <c r="M93">
        <v>10650</v>
      </c>
      <c r="N93">
        <v>26850</v>
      </c>
      <c r="O93">
        <v>300</v>
      </c>
      <c r="P93">
        <v>2250.65</v>
      </c>
      <c r="Q93">
        <v>2283.1999999999998</v>
      </c>
      <c r="R93">
        <v>300</v>
      </c>
      <c r="S93">
        <v>0</v>
      </c>
      <c r="T93">
        <v>0</v>
      </c>
      <c r="U93">
        <v>0</v>
      </c>
      <c r="V93">
        <v>0</v>
      </c>
      <c r="W93">
        <v>0</v>
      </c>
      <c r="X93">
        <v>10</v>
      </c>
      <c r="Y93">
        <v>24576.35</v>
      </c>
      <c r="Z93" s="64">
        <v>45897.597935995371</v>
      </c>
      <c r="AA93" s="75">
        <v>45897</v>
      </c>
    </row>
    <row r="94" spans="1:27" x14ac:dyDescent="0.3">
      <c r="A94" t="str">
        <f t="shared" si="6"/>
        <v>CE26900</v>
      </c>
      <c r="B94" t="str">
        <f t="shared" si="7"/>
        <v>PE26900</v>
      </c>
      <c r="C94" t="s">
        <v>163</v>
      </c>
      <c r="D94">
        <v>2097</v>
      </c>
      <c r="E94">
        <v>-1361</v>
      </c>
      <c r="F94">
        <v>36350</v>
      </c>
      <c r="G94">
        <v>58.53</v>
      </c>
      <c r="H94">
        <v>0.3</v>
      </c>
      <c r="I94">
        <v>-0.75</v>
      </c>
      <c r="J94">
        <v>75600</v>
      </c>
      <c r="K94">
        <v>0.25</v>
      </c>
      <c r="L94">
        <v>0.3</v>
      </c>
      <c r="M94">
        <v>30375</v>
      </c>
      <c r="N94">
        <v>26900</v>
      </c>
      <c r="O94">
        <v>150</v>
      </c>
      <c r="P94">
        <v>2311.1</v>
      </c>
      <c r="Q94">
        <v>2327.1</v>
      </c>
      <c r="R94">
        <v>150</v>
      </c>
      <c r="S94">
        <v>329.8</v>
      </c>
      <c r="T94">
        <v>2285.5500000000002</v>
      </c>
      <c r="U94">
        <v>0</v>
      </c>
      <c r="V94">
        <v>8</v>
      </c>
      <c r="W94">
        <v>-7</v>
      </c>
      <c r="X94">
        <v>57</v>
      </c>
      <c r="Y94">
        <v>24576.35</v>
      </c>
      <c r="Z94" s="64">
        <v>45897.597935995371</v>
      </c>
      <c r="AA94" s="75">
        <v>45897</v>
      </c>
    </row>
    <row r="95" spans="1:27" x14ac:dyDescent="0.3">
      <c r="A95" t="str">
        <f t="shared" si="6"/>
        <v>CE26950</v>
      </c>
      <c r="B95" t="str">
        <f t="shared" si="7"/>
        <v>PE26950</v>
      </c>
      <c r="C95" t="s">
        <v>163</v>
      </c>
      <c r="D95">
        <v>1647</v>
      </c>
      <c r="E95">
        <v>878</v>
      </c>
      <c r="F95">
        <v>24256</v>
      </c>
      <c r="G95">
        <v>58.83</v>
      </c>
      <c r="H95">
        <v>0.25</v>
      </c>
      <c r="I95">
        <v>-0.85</v>
      </c>
      <c r="J95">
        <v>24525</v>
      </c>
      <c r="K95">
        <v>0.25</v>
      </c>
      <c r="L95">
        <v>0.3</v>
      </c>
      <c r="M95">
        <v>36825</v>
      </c>
      <c r="N95">
        <v>26950</v>
      </c>
      <c r="O95">
        <v>300</v>
      </c>
      <c r="P95">
        <v>2355.65</v>
      </c>
      <c r="Q95">
        <v>2388.6999999999998</v>
      </c>
      <c r="R95">
        <v>300</v>
      </c>
      <c r="S95">
        <v>0</v>
      </c>
      <c r="T95">
        <v>0</v>
      </c>
      <c r="U95">
        <v>0</v>
      </c>
      <c r="V95">
        <v>0</v>
      </c>
      <c r="W95">
        <v>0</v>
      </c>
      <c r="X95">
        <v>7</v>
      </c>
      <c r="Y95">
        <v>24576.35</v>
      </c>
      <c r="Z95" s="64">
        <v>45897.597935995371</v>
      </c>
      <c r="AA95" s="75">
        <v>45897</v>
      </c>
    </row>
    <row r="96" spans="1:27" x14ac:dyDescent="0.3">
      <c r="A96" t="str">
        <f t="shared" si="6"/>
        <v>CE27000</v>
      </c>
      <c r="B96" t="str">
        <f t="shared" si="7"/>
        <v>PE27000</v>
      </c>
      <c r="C96" t="s">
        <v>163</v>
      </c>
      <c r="D96">
        <v>17061</v>
      </c>
      <c r="E96">
        <v>-8576</v>
      </c>
      <c r="F96">
        <v>128405</v>
      </c>
      <c r="G96">
        <v>59.9</v>
      </c>
      <c r="H96">
        <v>0.25</v>
      </c>
      <c r="I96">
        <v>-0.8</v>
      </c>
      <c r="J96">
        <v>734775</v>
      </c>
      <c r="K96">
        <v>0.2</v>
      </c>
      <c r="L96">
        <v>0.25</v>
      </c>
      <c r="M96">
        <v>249075</v>
      </c>
      <c r="N96">
        <v>27000</v>
      </c>
      <c r="O96">
        <v>300</v>
      </c>
      <c r="P96">
        <v>2421</v>
      </c>
      <c r="Q96">
        <v>2423.9</v>
      </c>
      <c r="R96">
        <v>150</v>
      </c>
      <c r="S96">
        <v>153.44999999999899</v>
      </c>
      <c r="T96">
        <v>2424</v>
      </c>
      <c r="U96">
        <v>101.56</v>
      </c>
      <c r="V96">
        <v>2050</v>
      </c>
      <c r="W96">
        <v>-367</v>
      </c>
      <c r="X96">
        <v>4785</v>
      </c>
      <c r="Y96">
        <v>24576.35</v>
      </c>
      <c r="Z96" s="64">
        <v>45897.597935995371</v>
      </c>
      <c r="AA96" s="75">
        <v>45897</v>
      </c>
    </row>
    <row r="97" spans="1:28" x14ac:dyDescent="0.3">
      <c r="A97" t="str">
        <f t="shared" si="6"/>
        <v>CE27050</v>
      </c>
      <c r="B97" t="str">
        <f t="shared" si="7"/>
        <v>PE27050</v>
      </c>
      <c r="C97" t="s">
        <v>163</v>
      </c>
      <c r="D97">
        <v>2402</v>
      </c>
      <c r="E97">
        <v>1652</v>
      </c>
      <c r="F97">
        <v>26439</v>
      </c>
      <c r="G97">
        <v>60.97</v>
      </c>
      <c r="H97">
        <v>0.2</v>
      </c>
      <c r="I97">
        <v>-0.9</v>
      </c>
      <c r="J97">
        <v>68175</v>
      </c>
      <c r="K97">
        <v>0.2</v>
      </c>
      <c r="L97">
        <v>0.25</v>
      </c>
      <c r="M97">
        <v>33300</v>
      </c>
      <c r="N97">
        <v>27050</v>
      </c>
      <c r="O97">
        <v>300</v>
      </c>
      <c r="P97">
        <v>2456.1999999999998</v>
      </c>
      <c r="Q97">
        <v>2488.15</v>
      </c>
      <c r="R97">
        <v>300</v>
      </c>
      <c r="S97">
        <v>0</v>
      </c>
      <c r="T97">
        <v>0</v>
      </c>
      <c r="U97">
        <v>0</v>
      </c>
      <c r="V97">
        <v>0</v>
      </c>
      <c r="W97">
        <v>0</v>
      </c>
      <c r="X97">
        <v>8</v>
      </c>
      <c r="Y97">
        <v>24576.35</v>
      </c>
      <c r="Z97" s="64">
        <v>45897.597935995371</v>
      </c>
      <c r="AA97" s="75">
        <v>45897</v>
      </c>
    </row>
    <row r="98" spans="1:28" x14ac:dyDescent="0.3">
      <c r="A98" t="str">
        <f t="shared" si="6"/>
        <v>CE27100</v>
      </c>
      <c r="B98" t="str">
        <f t="shared" si="7"/>
        <v>PE27100</v>
      </c>
      <c r="C98" t="s">
        <v>163</v>
      </c>
      <c r="D98">
        <v>1436</v>
      </c>
      <c r="E98">
        <v>800</v>
      </c>
      <c r="F98">
        <v>23296</v>
      </c>
      <c r="G98">
        <v>61.09</v>
      </c>
      <c r="H98">
        <v>0.25</v>
      </c>
      <c r="I98">
        <v>-0.7</v>
      </c>
      <c r="J98">
        <v>47025</v>
      </c>
      <c r="K98">
        <v>0.2</v>
      </c>
      <c r="L98">
        <v>0.25</v>
      </c>
      <c r="M98">
        <v>23325</v>
      </c>
      <c r="N98">
        <v>27100</v>
      </c>
      <c r="O98">
        <v>300</v>
      </c>
      <c r="P98">
        <v>2500.8000000000002</v>
      </c>
      <c r="Q98">
        <v>2539.15</v>
      </c>
      <c r="R98">
        <v>300</v>
      </c>
      <c r="S98">
        <v>416.15</v>
      </c>
      <c r="T98">
        <v>2567.75</v>
      </c>
      <c r="U98">
        <v>118.28</v>
      </c>
      <c r="V98">
        <v>2</v>
      </c>
      <c r="W98">
        <v>0</v>
      </c>
      <c r="X98">
        <v>7</v>
      </c>
      <c r="Y98">
        <v>24576.35</v>
      </c>
      <c r="Z98" s="64">
        <v>45897.597935995371</v>
      </c>
      <c r="AA98" s="75">
        <v>45897</v>
      </c>
    </row>
    <row r="99" spans="1:28" x14ac:dyDescent="0.3">
      <c r="A99" t="str">
        <f t="shared" si="6"/>
        <v>CE27150</v>
      </c>
      <c r="B99" t="str">
        <f t="shared" si="7"/>
        <v>PE27150</v>
      </c>
      <c r="C99" t="s">
        <v>163</v>
      </c>
      <c r="D99">
        <v>798</v>
      </c>
      <c r="E99">
        <v>244</v>
      </c>
      <c r="F99">
        <v>17219</v>
      </c>
      <c r="G99">
        <v>63.1</v>
      </c>
      <c r="H99">
        <v>0.25</v>
      </c>
      <c r="I99">
        <v>-0.7</v>
      </c>
      <c r="J99">
        <v>34650</v>
      </c>
      <c r="K99">
        <v>0.25</v>
      </c>
      <c r="L99">
        <v>0.3</v>
      </c>
      <c r="M99">
        <v>11925</v>
      </c>
      <c r="N99">
        <v>27150</v>
      </c>
      <c r="O99">
        <v>300</v>
      </c>
      <c r="P99">
        <v>2555.9499999999998</v>
      </c>
      <c r="Q99">
        <v>2582.0500000000002</v>
      </c>
      <c r="R99">
        <v>300</v>
      </c>
      <c r="S99">
        <v>432.75</v>
      </c>
      <c r="T99">
        <v>2576.0500000000002</v>
      </c>
      <c r="U99">
        <v>0</v>
      </c>
      <c r="V99">
        <v>7</v>
      </c>
      <c r="W99">
        <v>0</v>
      </c>
      <c r="X99">
        <v>9</v>
      </c>
      <c r="Y99">
        <v>24576.35</v>
      </c>
      <c r="Z99" s="64">
        <v>45897.597935995371</v>
      </c>
      <c r="AA99" s="75">
        <v>45897</v>
      </c>
    </row>
    <row r="100" spans="1:28" x14ac:dyDescent="0.3">
      <c r="A100" t="str">
        <f t="shared" si="6"/>
        <v>CE27200</v>
      </c>
      <c r="B100" t="str">
        <f t="shared" si="7"/>
        <v>PE27200</v>
      </c>
      <c r="C100" t="s">
        <v>163</v>
      </c>
      <c r="D100">
        <v>1431</v>
      </c>
      <c r="E100">
        <v>152</v>
      </c>
      <c r="F100">
        <v>20543</v>
      </c>
      <c r="G100">
        <v>63.18</v>
      </c>
      <c r="H100">
        <v>0.2</v>
      </c>
      <c r="I100">
        <v>-0.75</v>
      </c>
      <c r="J100">
        <v>32775</v>
      </c>
      <c r="K100">
        <v>0.2</v>
      </c>
      <c r="L100">
        <v>0.25</v>
      </c>
      <c r="M100">
        <v>13725</v>
      </c>
      <c r="N100">
        <v>27200</v>
      </c>
      <c r="O100">
        <v>150</v>
      </c>
      <c r="P100">
        <v>2610.15</v>
      </c>
      <c r="Q100">
        <v>2625.4</v>
      </c>
      <c r="R100">
        <v>150</v>
      </c>
      <c r="S100">
        <v>159.54999999999899</v>
      </c>
      <c r="T100">
        <v>2556.1999999999998</v>
      </c>
      <c r="U100">
        <v>0</v>
      </c>
      <c r="V100">
        <v>6</v>
      </c>
      <c r="W100">
        <v>0</v>
      </c>
      <c r="X100">
        <v>8</v>
      </c>
      <c r="Y100">
        <v>24576.35</v>
      </c>
      <c r="Z100" s="64">
        <v>45897.597935995371</v>
      </c>
      <c r="AA100" s="75">
        <v>45897</v>
      </c>
    </row>
    <row r="101" spans="1:28" x14ac:dyDescent="0.3">
      <c r="A101" t="str">
        <f t="shared" si="6"/>
        <v>CE27250</v>
      </c>
      <c r="B101" t="str">
        <f t="shared" si="7"/>
        <v>PE27250</v>
      </c>
      <c r="C101" t="s">
        <v>163</v>
      </c>
      <c r="D101">
        <v>959</v>
      </c>
      <c r="E101">
        <v>161</v>
      </c>
      <c r="F101">
        <v>16438</v>
      </c>
      <c r="G101">
        <v>64.22</v>
      </c>
      <c r="H101">
        <v>0.2</v>
      </c>
      <c r="I101">
        <v>-0.64999999999999902</v>
      </c>
      <c r="J101">
        <v>69750</v>
      </c>
      <c r="K101">
        <v>0.2</v>
      </c>
      <c r="L101">
        <v>0.25</v>
      </c>
      <c r="M101">
        <v>17625</v>
      </c>
      <c r="N101">
        <v>27250</v>
      </c>
      <c r="O101">
        <v>300</v>
      </c>
      <c r="P101">
        <v>2655.3</v>
      </c>
      <c r="Q101">
        <v>2688</v>
      </c>
      <c r="R101">
        <v>300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9</v>
      </c>
      <c r="Y101">
        <v>24576.35</v>
      </c>
      <c r="Z101" s="64">
        <v>45897.597935995371</v>
      </c>
      <c r="AA101" s="75">
        <v>45897</v>
      </c>
    </row>
    <row r="102" spans="1:28" x14ac:dyDescent="0.3">
      <c r="A102" t="str">
        <f t="shared" si="6"/>
        <v>CE27300</v>
      </c>
      <c r="B102" t="str">
        <f t="shared" si="7"/>
        <v>PE27300</v>
      </c>
      <c r="C102" t="s">
        <v>163</v>
      </c>
      <c r="D102">
        <v>2248</v>
      </c>
      <c r="E102">
        <v>590</v>
      </c>
      <c r="F102">
        <v>29707</v>
      </c>
      <c r="G102">
        <v>64.09</v>
      </c>
      <c r="H102">
        <v>0.2</v>
      </c>
      <c r="I102">
        <v>-0.6</v>
      </c>
      <c r="J102">
        <v>59175</v>
      </c>
      <c r="K102">
        <v>0.15</v>
      </c>
      <c r="L102">
        <v>0.2</v>
      </c>
      <c r="M102">
        <v>14700</v>
      </c>
      <c r="N102">
        <v>27300</v>
      </c>
      <c r="O102">
        <v>300</v>
      </c>
      <c r="P102">
        <v>2703.55</v>
      </c>
      <c r="Q102">
        <v>2747.7</v>
      </c>
      <c r="R102">
        <v>300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12</v>
      </c>
      <c r="Y102">
        <v>24576.35</v>
      </c>
      <c r="Z102" s="64">
        <v>45897.597935995371</v>
      </c>
      <c r="AA102" s="75">
        <v>45897</v>
      </c>
    </row>
    <row r="103" spans="1:28" x14ac:dyDescent="0.3">
      <c r="A103" t="str">
        <f t="shared" si="6"/>
        <v>CE27350</v>
      </c>
      <c r="B103" t="str">
        <f t="shared" si="7"/>
        <v>PE27350</v>
      </c>
      <c r="C103" t="s">
        <v>163</v>
      </c>
      <c r="D103">
        <v>3410</v>
      </c>
      <c r="E103">
        <v>975</v>
      </c>
      <c r="F103">
        <v>30817</v>
      </c>
      <c r="G103">
        <v>63.65</v>
      </c>
      <c r="H103">
        <v>0.2</v>
      </c>
      <c r="I103">
        <v>-0.55000000000000004</v>
      </c>
      <c r="J103">
        <v>55575</v>
      </c>
      <c r="K103">
        <v>0.15</v>
      </c>
      <c r="L103">
        <v>0.2</v>
      </c>
      <c r="M103">
        <v>50850</v>
      </c>
      <c r="N103">
        <v>27350</v>
      </c>
      <c r="O103">
        <v>300</v>
      </c>
      <c r="P103">
        <v>2753.35</v>
      </c>
      <c r="Q103">
        <v>2789.15</v>
      </c>
      <c r="R103">
        <v>300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9</v>
      </c>
      <c r="Y103">
        <v>24576.35</v>
      </c>
      <c r="Z103" s="64">
        <v>45897.597935995371</v>
      </c>
      <c r="AA103" s="75">
        <v>45897</v>
      </c>
    </row>
    <row r="104" spans="1:28" x14ac:dyDescent="0.3">
      <c r="A104" t="str">
        <f>"CE"&amp;N104</f>
        <v>CE27400</v>
      </c>
      <c r="B104" t="str">
        <f>"PE"&amp;N104</f>
        <v>PE27400</v>
      </c>
      <c r="C104" t="s">
        <v>163</v>
      </c>
      <c r="D104">
        <v>36394</v>
      </c>
      <c r="E104">
        <v>6804</v>
      </c>
      <c r="F104">
        <v>258748</v>
      </c>
      <c r="G104">
        <v>66.12</v>
      </c>
      <c r="H104">
        <v>0.15</v>
      </c>
      <c r="I104">
        <v>-0.65</v>
      </c>
      <c r="J104">
        <v>730500</v>
      </c>
      <c r="K104">
        <v>0.15</v>
      </c>
      <c r="L104">
        <v>0.2</v>
      </c>
      <c r="M104">
        <v>362475</v>
      </c>
      <c r="N104">
        <v>27400</v>
      </c>
      <c r="O104">
        <v>75</v>
      </c>
      <c r="P104">
        <v>2813.65</v>
      </c>
      <c r="Q104">
        <v>2830.1</v>
      </c>
      <c r="R104">
        <v>150</v>
      </c>
      <c r="S104">
        <v>147.44999999999899</v>
      </c>
      <c r="T104">
        <v>2825</v>
      </c>
      <c r="U104">
        <v>118</v>
      </c>
      <c r="V104">
        <v>82</v>
      </c>
      <c r="W104">
        <v>-41</v>
      </c>
      <c r="X104">
        <v>117</v>
      </c>
      <c r="Y104">
        <v>24576.35</v>
      </c>
      <c r="Z104">
        <v>45897.597935995371</v>
      </c>
      <c r="AA104">
        <v>45897</v>
      </c>
    </row>
    <row r="105" spans="1:28" x14ac:dyDescent="0.3">
      <c r="A105" t="str">
        <f t="shared" ref="A105:A144" si="8">"CE"&amp;N105</f>
        <v>CE</v>
      </c>
      <c r="B105" t="str">
        <f t="shared" ref="B105:B144" si="9">"PE"&amp;N105</f>
        <v>PE</v>
      </c>
      <c r="AB105" t="s">
        <v>164</v>
      </c>
    </row>
    <row r="106" spans="1:28" x14ac:dyDescent="0.3">
      <c r="A106" t="str">
        <f t="shared" si="8"/>
        <v>CE</v>
      </c>
      <c r="B106" t="str">
        <f t="shared" si="9"/>
        <v>PE</v>
      </c>
      <c r="AB106">
        <v>3771153</v>
      </c>
    </row>
    <row r="107" spans="1:28" x14ac:dyDescent="0.3">
      <c r="A107" t="str">
        <f t="shared" si="8"/>
        <v>CE</v>
      </c>
      <c r="B107" t="str">
        <f t="shared" si="9"/>
        <v>PE</v>
      </c>
      <c r="AB107" t="s">
        <v>165</v>
      </c>
    </row>
    <row r="108" spans="1:28" x14ac:dyDescent="0.3">
      <c r="A108" t="str">
        <f t="shared" si="8"/>
        <v>CE</v>
      </c>
      <c r="B108" t="str">
        <f t="shared" si="9"/>
        <v>PE</v>
      </c>
      <c r="AB108">
        <v>90996314</v>
      </c>
    </row>
    <row r="109" spans="1:28" x14ac:dyDescent="0.3">
      <c r="A109" t="str">
        <f t="shared" si="8"/>
        <v>CE</v>
      </c>
      <c r="B109" t="str">
        <f t="shared" si="9"/>
        <v>PE</v>
      </c>
      <c r="AB109" t="s">
        <v>165</v>
      </c>
    </row>
    <row r="110" spans="1:28" x14ac:dyDescent="0.3">
      <c r="A110" t="str">
        <f t="shared" si="8"/>
        <v>CE</v>
      </c>
      <c r="B110" t="str">
        <f t="shared" si="9"/>
        <v>PE</v>
      </c>
      <c r="AB110" t="s">
        <v>165</v>
      </c>
    </row>
    <row r="111" spans="1:28" x14ac:dyDescent="0.3">
      <c r="A111" t="str">
        <f t="shared" si="8"/>
        <v>CE</v>
      </c>
      <c r="B111" t="str">
        <f t="shared" si="9"/>
        <v>PE</v>
      </c>
      <c r="AB111" t="s">
        <v>165</v>
      </c>
    </row>
    <row r="112" spans="1:28" x14ac:dyDescent="0.3">
      <c r="A112" t="str">
        <f t="shared" si="8"/>
        <v>CE</v>
      </c>
      <c r="B112" t="str">
        <f t="shared" si="9"/>
        <v>PE</v>
      </c>
      <c r="AB112" t="s">
        <v>165</v>
      </c>
    </row>
    <row r="113" spans="1:28" x14ac:dyDescent="0.3">
      <c r="A113" t="str">
        <f t="shared" si="8"/>
        <v>CE</v>
      </c>
      <c r="B113" t="str">
        <f t="shared" si="9"/>
        <v>PE</v>
      </c>
      <c r="AB113" t="s">
        <v>165</v>
      </c>
    </row>
    <row r="114" spans="1:28" x14ac:dyDescent="0.3">
      <c r="A114" t="str">
        <f t="shared" si="8"/>
        <v>CE</v>
      </c>
      <c r="B114" t="str">
        <f t="shared" si="9"/>
        <v>PE</v>
      </c>
      <c r="AB114" t="s">
        <v>165</v>
      </c>
    </row>
    <row r="115" spans="1:28" x14ac:dyDescent="0.3">
      <c r="A115" t="str">
        <f t="shared" si="8"/>
        <v>CE</v>
      </c>
      <c r="B115" t="str">
        <f t="shared" si="9"/>
        <v>PE</v>
      </c>
      <c r="AB115" t="s">
        <v>165</v>
      </c>
    </row>
    <row r="116" spans="1:28" x14ac:dyDescent="0.3">
      <c r="A116" t="str">
        <f t="shared" si="8"/>
        <v>CE</v>
      </c>
      <c r="B116" t="str">
        <f t="shared" si="9"/>
        <v>PE</v>
      </c>
      <c r="AB116" t="s">
        <v>165</v>
      </c>
    </row>
    <row r="117" spans="1:28" x14ac:dyDescent="0.3">
      <c r="A117" t="str">
        <f t="shared" si="8"/>
        <v>CE</v>
      </c>
      <c r="B117" t="str">
        <f t="shared" si="9"/>
        <v>PE</v>
      </c>
      <c r="AB117" t="s">
        <v>165</v>
      </c>
    </row>
    <row r="118" spans="1:28" x14ac:dyDescent="0.3">
      <c r="A118" t="str">
        <f t="shared" si="8"/>
        <v>CE</v>
      </c>
      <c r="B118" t="str">
        <f t="shared" si="9"/>
        <v>PE</v>
      </c>
      <c r="AB118" t="s">
        <v>165</v>
      </c>
    </row>
    <row r="119" spans="1:28" x14ac:dyDescent="0.3">
      <c r="A119" t="str">
        <f t="shared" si="8"/>
        <v>CE</v>
      </c>
      <c r="B119" t="str">
        <f t="shared" si="9"/>
        <v>PE</v>
      </c>
      <c r="AB119" t="s">
        <v>165</v>
      </c>
    </row>
    <row r="120" spans="1:28" x14ac:dyDescent="0.3">
      <c r="A120" t="str">
        <f t="shared" si="8"/>
        <v>CE</v>
      </c>
      <c r="B120" t="str">
        <f t="shared" si="9"/>
        <v>PE</v>
      </c>
      <c r="AB120" t="s">
        <v>165</v>
      </c>
    </row>
    <row r="121" spans="1:28" x14ac:dyDescent="0.3">
      <c r="A121" t="str">
        <f t="shared" si="8"/>
        <v>CE</v>
      </c>
      <c r="B121" t="str">
        <f t="shared" si="9"/>
        <v>PE</v>
      </c>
      <c r="AB121" t="s">
        <v>165</v>
      </c>
    </row>
    <row r="122" spans="1:28" x14ac:dyDescent="0.3">
      <c r="A122" t="str">
        <f t="shared" si="8"/>
        <v>CE</v>
      </c>
      <c r="B122" t="str">
        <f t="shared" si="9"/>
        <v>PE</v>
      </c>
      <c r="AB122" t="s">
        <v>165</v>
      </c>
    </row>
    <row r="123" spans="1:28" x14ac:dyDescent="0.3">
      <c r="A123" t="str">
        <f t="shared" si="8"/>
        <v>CE</v>
      </c>
      <c r="B123" t="str">
        <f t="shared" si="9"/>
        <v>PE</v>
      </c>
      <c r="AB123" t="s">
        <v>165</v>
      </c>
    </row>
    <row r="124" spans="1:28" x14ac:dyDescent="0.3">
      <c r="A124" t="str">
        <f t="shared" si="8"/>
        <v>CE</v>
      </c>
      <c r="B124" t="str">
        <f t="shared" si="9"/>
        <v>PE</v>
      </c>
      <c r="AB124">
        <v>86267644</v>
      </c>
    </row>
    <row r="125" spans="1:28" x14ac:dyDescent="0.3">
      <c r="A125" t="str">
        <f t="shared" si="8"/>
        <v>CE</v>
      </c>
      <c r="B125" t="str">
        <f t="shared" si="9"/>
        <v>PE</v>
      </c>
      <c r="AB125" t="s">
        <v>165</v>
      </c>
    </row>
    <row r="126" spans="1:28" x14ac:dyDescent="0.3">
      <c r="A126" t="str">
        <f t="shared" si="8"/>
        <v>CE</v>
      </c>
      <c r="B126" t="str">
        <f t="shared" si="9"/>
        <v>PE</v>
      </c>
      <c r="AB126">
        <v>2736491</v>
      </c>
    </row>
    <row r="127" spans="1:28" x14ac:dyDescent="0.3">
      <c r="A127" t="str">
        <f t="shared" si="8"/>
        <v>CE</v>
      </c>
      <c r="B127" t="str">
        <f t="shared" si="9"/>
        <v>PE</v>
      </c>
      <c r="AB127" t="s">
        <v>165</v>
      </c>
    </row>
    <row r="128" spans="1:28" x14ac:dyDescent="0.3">
      <c r="A128" t="str">
        <f t="shared" si="8"/>
        <v>CE</v>
      </c>
      <c r="B128" t="str">
        <f t="shared" si="9"/>
        <v>PE</v>
      </c>
      <c r="AB128" t="s">
        <v>165</v>
      </c>
    </row>
    <row r="129" spans="1:28" x14ac:dyDescent="0.3">
      <c r="A129" t="str">
        <f t="shared" si="8"/>
        <v>CE</v>
      </c>
      <c r="B129" t="str">
        <f t="shared" si="9"/>
        <v>PE</v>
      </c>
      <c r="AB129" t="s">
        <v>165</v>
      </c>
    </row>
    <row r="130" spans="1:28" x14ac:dyDescent="0.3">
      <c r="A130" t="str">
        <f t="shared" si="8"/>
        <v>CE</v>
      </c>
      <c r="B130" t="str">
        <f t="shared" si="9"/>
        <v>PE</v>
      </c>
    </row>
    <row r="131" spans="1:28" x14ac:dyDescent="0.3">
      <c r="A131" t="str">
        <f t="shared" si="8"/>
        <v>CE</v>
      </c>
      <c r="B131" t="str">
        <f t="shared" si="9"/>
        <v>PE</v>
      </c>
    </row>
    <row r="132" spans="1:28" x14ac:dyDescent="0.3">
      <c r="A132" t="str">
        <f t="shared" si="8"/>
        <v>CE</v>
      </c>
      <c r="B132" t="str">
        <f t="shared" si="9"/>
        <v>PE</v>
      </c>
    </row>
    <row r="133" spans="1:28" x14ac:dyDescent="0.3">
      <c r="A133" t="str">
        <f t="shared" si="8"/>
        <v>CE</v>
      </c>
      <c r="B133" t="str">
        <f t="shared" si="9"/>
        <v>PE</v>
      </c>
    </row>
    <row r="134" spans="1:28" x14ac:dyDescent="0.3">
      <c r="A134" t="str">
        <f t="shared" si="8"/>
        <v>CE</v>
      </c>
      <c r="B134" t="str">
        <f t="shared" si="9"/>
        <v>PE</v>
      </c>
    </row>
    <row r="135" spans="1:28" x14ac:dyDescent="0.3">
      <c r="A135" t="str">
        <f t="shared" si="8"/>
        <v>CE</v>
      </c>
      <c r="B135" t="str">
        <f t="shared" si="9"/>
        <v>PE</v>
      </c>
    </row>
    <row r="136" spans="1:28" x14ac:dyDescent="0.3">
      <c r="A136" t="str">
        <f t="shared" si="8"/>
        <v>CE</v>
      </c>
      <c r="B136" t="str">
        <f t="shared" si="9"/>
        <v>PE</v>
      </c>
    </row>
    <row r="137" spans="1:28" x14ac:dyDescent="0.3">
      <c r="A137" t="str">
        <f t="shared" si="8"/>
        <v>CE</v>
      </c>
      <c r="B137" t="str">
        <f t="shared" si="9"/>
        <v>PE</v>
      </c>
    </row>
    <row r="138" spans="1:28" x14ac:dyDescent="0.3">
      <c r="A138" t="str">
        <f t="shared" si="8"/>
        <v>CE</v>
      </c>
      <c r="B138" t="str">
        <f t="shared" si="9"/>
        <v>PE</v>
      </c>
    </row>
    <row r="139" spans="1:28" x14ac:dyDescent="0.3">
      <c r="A139" t="str">
        <f t="shared" si="8"/>
        <v>CE</v>
      </c>
      <c r="B139" t="str">
        <f t="shared" si="9"/>
        <v>PE</v>
      </c>
    </row>
    <row r="140" spans="1:28" x14ac:dyDescent="0.3">
      <c r="A140" t="str">
        <f t="shared" si="8"/>
        <v>CE</v>
      </c>
      <c r="B140" t="str">
        <f t="shared" si="9"/>
        <v>PE</v>
      </c>
    </row>
    <row r="141" spans="1:28" x14ac:dyDescent="0.3">
      <c r="A141" t="str">
        <f t="shared" si="8"/>
        <v>CE</v>
      </c>
      <c r="B141" t="str">
        <f t="shared" si="9"/>
        <v>PE</v>
      </c>
    </row>
    <row r="142" spans="1:28" x14ac:dyDescent="0.3">
      <c r="A142" t="str">
        <f t="shared" si="8"/>
        <v>CE</v>
      </c>
      <c r="B142" t="str">
        <f t="shared" si="9"/>
        <v>PE</v>
      </c>
    </row>
    <row r="143" spans="1:28" x14ac:dyDescent="0.3">
      <c r="A143" t="str">
        <f t="shared" si="8"/>
        <v>CE</v>
      </c>
      <c r="B143" t="str">
        <f t="shared" si="9"/>
        <v>PE</v>
      </c>
    </row>
    <row r="144" spans="1:28" x14ac:dyDescent="0.3">
      <c r="A144" t="str">
        <f t="shared" si="8"/>
        <v>CE</v>
      </c>
      <c r="B144" t="str">
        <f t="shared" si="9"/>
        <v>PE</v>
      </c>
    </row>
    <row r="145" spans="1:2" x14ac:dyDescent="0.3">
      <c r="A145" t="str">
        <f>"CE"&amp;N145</f>
        <v>CE</v>
      </c>
      <c r="B145" t="str">
        <f>"PE"&amp;N145</f>
        <v>PE</v>
      </c>
    </row>
    <row r="146" spans="1:2" x14ac:dyDescent="0.3">
      <c r="A146" t="str">
        <f t="shared" ref="A146:A150" si="10">"CE"&amp;N146</f>
        <v>CE</v>
      </c>
      <c r="B146" t="str">
        <f t="shared" ref="B146:B150" si="11">"PE"&amp;N146</f>
        <v>PE</v>
      </c>
    </row>
    <row r="147" spans="1:2" x14ac:dyDescent="0.3">
      <c r="A147" t="str">
        <f t="shared" si="10"/>
        <v>CE</v>
      </c>
      <c r="B147" t="str">
        <f t="shared" si="11"/>
        <v>PE</v>
      </c>
    </row>
    <row r="148" spans="1:2" x14ac:dyDescent="0.3">
      <c r="A148" t="str">
        <f t="shared" si="10"/>
        <v>CE</v>
      </c>
      <c r="B148" t="str">
        <f t="shared" si="11"/>
        <v>PE</v>
      </c>
    </row>
    <row r="149" spans="1:2" x14ac:dyDescent="0.3">
      <c r="A149" t="str">
        <f t="shared" si="10"/>
        <v>CE</v>
      </c>
      <c r="B149" t="str">
        <f t="shared" si="11"/>
        <v>PE</v>
      </c>
    </row>
    <row r="150" spans="1:2" x14ac:dyDescent="0.3">
      <c r="A150" t="str">
        <f t="shared" si="10"/>
        <v>CE</v>
      </c>
      <c r="B150" t="str">
        <f t="shared" si="11"/>
        <v>PE</v>
      </c>
    </row>
  </sheetData>
  <pageMargins left="0.7" right="0.7" top="0.75" bottom="0.75" header="0.3" footer="0.3"/>
  <pageSetup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2:K17"/>
  <sheetViews>
    <sheetView showGridLines="0" workbookViewId="0">
      <selection activeCell="I21" sqref="I21"/>
    </sheetView>
  </sheetViews>
  <sheetFormatPr defaultRowHeight="14.4" x14ac:dyDescent="0.3"/>
  <sheetData>
    <row r="2" spans="1:11" ht="28.8" customHeight="1" x14ac:dyDescent="0.3">
      <c r="B2" s="4"/>
      <c r="C2" s="5" t="s">
        <v>95</v>
      </c>
      <c r="D2" s="5" t="s">
        <v>66</v>
      </c>
      <c r="E2" s="5" t="s">
        <v>96</v>
      </c>
      <c r="F2" s="4" t="s">
        <v>97</v>
      </c>
      <c r="G2" s="4" t="s">
        <v>3</v>
      </c>
      <c r="H2" s="4" t="s">
        <v>4</v>
      </c>
    </row>
    <row r="3" spans="1:11" x14ac:dyDescent="0.3">
      <c r="A3" t="str">
        <f>"CE_"&amp;E3</f>
        <v>CE_Long Liquidation</v>
      </c>
      <c r="B3" s="6" t="s">
        <v>3</v>
      </c>
      <c r="C3" s="6" t="s">
        <v>98</v>
      </c>
      <c r="D3" s="6" t="s">
        <v>98</v>
      </c>
      <c r="E3" s="6" t="s">
        <v>99</v>
      </c>
      <c r="F3" s="6" t="s">
        <v>100</v>
      </c>
      <c r="G3" s="6" t="s">
        <v>100</v>
      </c>
      <c r="H3" s="6" t="s">
        <v>101</v>
      </c>
      <c r="I3" s="6" t="s">
        <v>102</v>
      </c>
      <c r="K3" s="6" t="s">
        <v>103</v>
      </c>
    </row>
    <row r="4" spans="1:11" x14ac:dyDescent="0.3">
      <c r="A4" t="str">
        <f>"CE_"&amp;E4</f>
        <v>CE_Short Buildup</v>
      </c>
      <c r="B4" s="7"/>
      <c r="C4" s="7" t="s">
        <v>98</v>
      </c>
      <c r="D4" s="7" t="s">
        <v>104</v>
      </c>
      <c r="E4" s="7" t="s">
        <v>105</v>
      </c>
      <c r="F4" s="7" t="s">
        <v>100</v>
      </c>
      <c r="G4" s="7" t="s">
        <v>100</v>
      </c>
      <c r="H4" s="7" t="s">
        <v>101</v>
      </c>
      <c r="I4" s="6" t="s">
        <v>102</v>
      </c>
      <c r="K4" s="7" t="s">
        <v>106</v>
      </c>
    </row>
    <row r="5" spans="1:11" x14ac:dyDescent="0.3">
      <c r="A5" t="str">
        <f>"CE_"&amp;E5</f>
        <v>CE_Long Buildup</v>
      </c>
      <c r="B5" s="6"/>
      <c r="C5" s="6" t="s">
        <v>104</v>
      </c>
      <c r="D5" s="6" t="s">
        <v>104</v>
      </c>
      <c r="E5" s="6" t="s">
        <v>107</v>
      </c>
      <c r="F5" s="6" t="s">
        <v>101</v>
      </c>
      <c r="G5" s="6" t="s">
        <v>101</v>
      </c>
      <c r="H5" s="6" t="s">
        <v>100</v>
      </c>
      <c r="I5" s="6" t="s">
        <v>108</v>
      </c>
      <c r="K5" s="8" t="s">
        <v>109</v>
      </c>
    </row>
    <row r="6" spans="1:11" x14ac:dyDescent="0.3">
      <c r="A6" t="str">
        <f>"CE_"&amp;E6</f>
        <v>CE_Short Covering</v>
      </c>
      <c r="B6" s="7"/>
      <c r="C6" s="7" t="s">
        <v>104</v>
      </c>
      <c r="D6" s="7" t="s">
        <v>98</v>
      </c>
      <c r="E6" s="7" t="s">
        <v>110</v>
      </c>
      <c r="F6" s="7" t="s">
        <v>101</v>
      </c>
      <c r="G6" s="7" t="s">
        <v>101</v>
      </c>
      <c r="H6" s="7" t="s">
        <v>100</v>
      </c>
      <c r="I6" s="6" t="s">
        <v>108</v>
      </c>
      <c r="K6" s="8" t="s">
        <v>111</v>
      </c>
    </row>
    <row r="7" spans="1:11" x14ac:dyDescent="0.3">
      <c r="B7" s="6"/>
      <c r="C7" s="6"/>
      <c r="D7" s="6"/>
      <c r="E7" s="6"/>
      <c r="F7" s="6"/>
      <c r="G7" s="6"/>
      <c r="H7" s="6"/>
    </row>
    <row r="8" spans="1:11" x14ac:dyDescent="0.3">
      <c r="A8" t="str">
        <f>"PE_"&amp;E8</f>
        <v>PE_Long Liquidation</v>
      </c>
      <c r="B8" s="6" t="s">
        <v>4</v>
      </c>
      <c r="C8" s="6" t="s">
        <v>98</v>
      </c>
      <c r="D8" s="6" t="s">
        <v>98</v>
      </c>
      <c r="E8" s="6" t="s">
        <v>99</v>
      </c>
      <c r="F8" s="6" t="s">
        <v>101</v>
      </c>
      <c r="G8" s="6" t="s">
        <v>101</v>
      </c>
      <c r="H8" s="6" t="s">
        <v>100</v>
      </c>
      <c r="I8" s="6" t="s">
        <v>108</v>
      </c>
    </row>
    <row r="9" spans="1:11" x14ac:dyDescent="0.3">
      <c r="A9" t="str">
        <f>"PE_"&amp;E9</f>
        <v>PE_Short Buildup</v>
      </c>
      <c r="B9" s="7"/>
      <c r="C9" s="7" t="s">
        <v>98</v>
      </c>
      <c r="D9" s="7" t="s">
        <v>104</v>
      </c>
      <c r="E9" s="7" t="s">
        <v>105</v>
      </c>
      <c r="F9" s="7" t="s">
        <v>101</v>
      </c>
      <c r="G9" s="7" t="s">
        <v>101</v>
      </c>
      <c r="H9" s="7" t="s">
        <v>100</v>
      </c>
      <c r="I9" s="6" t="s">
        <v>108</v>
      </c>
    </row>
    <row r="10" spans="1:11" x14ac:dyDescent="0.3">
      <c r="A10" t="str">
        <f>"PE_"&amp;E10</f>
        <v>PE_Long Buildup</v>
      </c>
      <c r="B10" s="6"/>
      <c r="C10" s="6" t="s">
        <v>104</v>
      </c>
      <c r="D10" s="6" t="s">
        <v>104</v>
      </c>
      <c r="E10" s="6" t="s">
        <v>107</v>
      </c>
      <c r="F10" s="6" t="s">
        <v>100</v>
      </c>
      <c r="G10" s="6" t="s">
        <v>100</v>
      </c>
      <c r="H10" s="6" t="s">
        <v>101</v>
      </c>
      <c r="I10" s="6" t="s">
        <v>102</v>
      </c>
    </row>
    <row r="11" spans="1:11" x14ac:dyDescent="0.3">
      <c r="A11" t="str">
        <f>"PE_"&amp;E11</f>
        <v>PE_Short Covering</v>
      </c>
      <c r="B11" s="7"/>
      <c r="C11" s="7" t="s">
        <v>104</v>
      </c>
      <c r="D11" s="7" t="s">
        <v>98</v>
      </c>
      <c r="E11" s="7" t="s">
        <v>110</v>
      </c>
      <c r="F11" s="7" t="s">
        <v>100</v>
      </c>
      <c r="G11" s="7" t="s">
        <v>100</v>
      </c>
      <c r="H11" s="7" t="s">
        <v>101</v>
      </c>
      <c r="I11" s="6" t="s">
        <v>102</v>
      </c>
    </row>
    <row r="14" spans="1:11" x14ac:dyDescent="0.3">
      <c r="B14" t="s">
        <v>112</v>
      </c>
    </row>
    <row r="15" spans="1:11" x14ac:dyDescent="0.3">
      <c r="B15" t="s">
        <v>113</v>
      </c>
    </row>
    <row r="16" spans="1:11" x14ac:dyDescent="0.3">
      <c r="B16" t="s">
        <v>114</v>
      </c>
    </row>
    <row r="17" spans="2:2" x14ac:dyDescent="0.3">
      <c r="B17" t="s">
        <v>115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B3"/>
  <sheetViews>
    <sheetView workbookViewId="0">
      <selection activeCell="G21" sqref="G21"/>
    </sheetView>
  </sheetViews>
  <sheetFormatPr defaultRowHeight="14.4" x14ac:dyDescent="0.3"/>
  <sheetData>
    <row r="1" spans="1:2" x14ac:dyDescent="0.3">
      <c r="A1" t="s">
        <v>116</v>
      </c>
      <c r="B1" t="s">
        <v>69</v>
      </c>
    </row>
    <row r="2" spans="1:2" x14ac:dyDescent="0.3">
      <c r="A2" t="s">
        <v>117</v>
      </c>
      <c r="B2" t="s">
        <v>118</v>
      </c>
    </row>
    <row r="3" spans="1:2" x14ac:dyDescent="0.3">
      <c r="A3" t="s">
        <v>119</v>
      </c>
      <c r="B3" t="s">
        <v>120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B2:M43"/>
  <sheetViews>
    <sheetView showGridLines="0" zoomScale="90" zoomScaleNormal="90" workbookViewId="0">
      <selection activeCell="Y55" sqref="Y52:Y55"/>
    </sheetView>
  </sheetViews>
  <sheetFormatPr defaultRowHeight="14.4" x14ac:dyDescent="0.3"/>
  <cols>
    <col min="6" max="6" width="6.33203125" customWidth="1"/>
    <col min="7" max="7" width="11.5546875" customWidth="1"/>
    <col min="8" max="8" width="10.44140625" customWidth="1"/>
    <col min="13" max="13" width="10.33203125" customWidth="1"/>
  </cols>
  <sheetData>
    <row r="2" spans="2:13" x14ac:dyDescent="0.3">
      <c r="C2" s="89" t="s">
        <v>23</v>
      </c>
      <c r="D2" s="77"/>
      <c r="E2" s="77"/>
      <c r="F2" s="77"/>
      <c r="G2" s="77"/>
      <c r="H2" s="78"/>
      <c r="I2" s="89" t="s">
        <v>24</v>
      </c>
      <c r="J2" s="77"/>
      <c r="K2" s="77"/>
      <c r="L2" s="77"/>
      <c r="M2" s="78"/>
    </row>
    <row r="3" spans="2:13" x14ac:dyDescent="0.3">
      <c r="C3" s="63" t="s">
        <v>25</v>
      </c>
      <c r="D3" s="63" t="s">
        <v>26</v>
      </c>
      <c r="E3" s="63" t="s">
        <v>27</v>
      </c>
      <c r="F3" s="63" t="s">
        <v>28</v>
      </c>
      <c r="G3" s="63" t="s">
        <v>29</v>
      </c>
      <c r="H3" s="63" t="s">
        <v>30</v>
      </c>
      <c r="I3" s="63" t="s">
        <v>26</v>
      </c>
      <c r="J3" s="63" t="s">
        <v>27</v>
      </c>
      <c r="K3" s="63" t="s">
        <v>28</v>
      </c>
      <c r="L3" s="63" t="s">
        <v>29</v>
      </c>
      <c r="M3" s="63" t="s">
        <v>30</v>
      </c>
    </row>
    <row r="4" spans="2:13" x14ac:dyDescent="0.3">
      <c r="B4" t="s">
        <v>121</v>
      </c>
      <c r="C4">
        <v>1.5017580893971281</v>
      </c>
      <c r="D4">
        <v>-0.40833112231361102</v>
      </c>
      <c r="E4">
        <v>-4.358469735515768E-2</v>
      </c>
      <c r="F4">
        <v>-0.58129445961934534</v>
      </c>
      <c r="G4">
        <v>17500</v>
      </c>
      <c r="H4">
        <v>17100</v>
      </c>
      <c r="I4">
        <v>-1.0161846643672059</v>
      </c>
      <c r="J4">
        <v>0.66609705755292081</v>
      </c>
      <c r="K4">
        <v>0.79471523933334309</v>
      </c>
      <c r="L4">
        <v>17500</v>
      </c>
      <c r="M4">
        <v>17000</v>
      </c>
    </row>
    <row r="5" spans="2:13" x14ac:dyDescent="0.3">
      <c r="B5" t="s">
        <v>122</v>
      </c>
      <c r="C5">
        <v>1.489971992269453</v>
      </c>
      <c r="D5">
        <v>-0.38682417083144027</v>
      </c>
      <c r="E5">
        <v>-4.7808003494816932E-2</v>
      </c>
      <c r="F5">
        <v>-0.57858830088469604</v>
      </c>
      <c r="G5">
        <v>17500</v>
      </c>
      <c r="H5">
        <v>17100</v>
      </c>
      <c r="I5">
        <v>-1.0770558836892321</v>
      </c>
      <c r="J5">
        <v>0.66577172656697947</v>
      </c>
      <c r="K5">
        <v>0.7929106941122962</v>
      </c>
      <c r="L5">
        <v>17500</v>
      </c>
      <c r="M5">
        <v>17000</v>
      </c>
    </row>
    <row r="6" spans="2:13" x14ac:dyDescent="0.3">
      <c r="B6" t="s">
        <v>123</v>
      </c>
      <c r="C6">
        <v>1.4923184488323169</v>
      </c>
      <c r="D6">
        <v>-0.51190378120108737</v>
      </c>
      <c r="E6">
        <v>-0.28998335932531211</v>
      </c>
      <c r="F6">
        <v>-2.7766152425208891E-2</v>
      </c>
      <c r="G6">
        <v>17500</v>
      </c>
      <c r="H6">
        <v>16500</v>
      </c>
      <c r="I6">
        <v>-1.162945876925612</v>
      </c>
      <c r="J6">
        <v>0.67302381097587538</v>
      </c>
      <c r="K6">
        <v>0.74726162815868846</v>
      </c>
      <c r="L6">
        <v>17500</v>
      </c>
      <c r="M6">
        <v>17000</v>
      </c>
    </row>
    <row r="7" spans="2:13" x14ac:dyDescent="0.3">
      <c r="B7" t="s">
        <v>124</v>
      </c>
      <c r="C7">
        <v>1.3185299915516751</v>
      </c>
      <c r="D7">
        <v>-0.52890333835540404</v>
      </c>
      <c r="E7">
        <v>-0.29543917084944499</v>
      </c>
      <c r="F7">
        <v>-3.4114527341790303E-2</v>
      </c>
      <c r="G7">
        <v>17500</v>
      </c>
      <c r="H7">
        <v>16500</v>
      </c>
      <c r="I7">
        <v>-1.244548410118151</v>
      </c>
      <c r="J7">
        <v>0.71241971988608366</v>
      </c>
      <c r="K7">
        <v>0.71958718555149426</v>
      </c>
      <c r="L7">
        <v>17500</v>
      </c>
      <c r="M7">
        <v>17000</v>
      </c>
    </row>
    <row r="8" spans="2:13" x14ac:dyDescent="0.3">
      <c r="B8" t="s">
        <v>125</v>
      </c>
      <c r="C8">
        <v>1.3267368587054851</v>
      </c>
      <c r="D8">
        <v>-0.49625601008906761</v>
      </c>
      <c r="E8">
        <v>-0.274761827870176</v>
      </c>
      <c r="F8">
        <v>-2.8722383700118839E-2</v>
      </c>
      <c r="G8">
        <v>17500</v>
      </c>
      <c r="H8">
        <v>16500</v>
      </c>
      <c r="I8">
        <v>-1.29628753842516</v>
      </c>
      <c r="J8">
        <v>0.73421605037946069</v>
      </c>
      <c r="K8">
        <v>0.70805114474305919</v>
      </c>
      <c r="L8">
        <v>17500</v>
      </c>
      <c r="M8">
        <v>17000</v>
      </c>
    </row>
    <row r="9" spans="2:13" x14ac:dyDescent="0.3">
      <c r="B9" t="s">
        <v>126</v>
      </c>
      <c r="C9">
        <v>1.5162387848696339</v>
      </c>
      <c r="D9">
        <v>-0.46788397834693379</v>
      </c>
      <c r="E9">
        <v>1.6732453726273411E-2</v>
      </c>
      <c r="F9">
        <v>-0.58923357926680187</v>
      </c>
      <c r="G9">
        <v>17500</v>
      </c>
      <c r="H9">
        <v>17100</v>
      </c>
      <c r="I9">
        <v>-1.284317686030541</v>
      </c>
      <c r="J9">
        <v>0.7320291245341175</v>
      </c>
      <c r="K9">
        <v>0.71911809121111447</v>
      </c>
      <c r="L9">
        <v>17500</v>
      </c>
      <c r="M9">
        <v>17000</v>
      </c>
    </row>
    <row r="10" spans="2:13" x14ac:dyDescent="0.3">
      <c r="B10" t="s">
        <v>127</v>
      </c>
      <c r="C10">
        <v>1.516064137334963</v>
      </c>
      <c r="D10">
        <v>-0.47066388040507962</v>
      </c>
      <c r="E10">
        <v>1.8822077069725291E-2</v>
      </c>
      <c r="F10">
        <v>-0.58961721938042411</v>
      </c>
      <c r="G10">
        <v>17500</v>
      </c>
      <c r="H10">
        <v>17100</v>
      </c>
      <c r="I10">
        <v>-1.2828323420671921</v>
      </c>
      <c r="J10">
        <v>0.73491264806075574</v>
      </c>
      <c r="K10">
        <v>0.71751250071843209</v>
      </c>
      <c r="L10">
        <v>17500</v>
      </c>
      <c r="M10">
        <v>17000</v>
      </c>
    </row>
    <row r="11" spans="2:13" x14ac:dyDescent="0.3">
      <c r="B11" t="s">
        <v>128</v>
      </c>
      <c r="C11">
        <v>1.5142159082935169</v>
      </c>
      <c r="D11">
        <v>-0.46606407876684691</v>
      </c>
      <c r="E11">
        <v>1.8599833018955441E-2</v>
      </c>
      <c r="F11">
        <v>-0.58888489467251415</v>
      </c>
      <c r="G11">
        <v>17500</v>
      </c>
      <c r="H11">
        <v>17100</v>
      </c>
      <c r="I11">
        <v>-1.3142603502542169</v>
      </c>
      <c r="J11">
        <v>0.73345650762237546</v>
      </c>
      <c r="K11">
        <v>0.71337982601193473</v>
      </c>
      <c r="L11">
        <v>17500</v>
      </c>
      <c r="M11">
        <v>17000</v>
      </c>
    </row>
    <row r="12" spans="2:13" x14ac:dyDescent="0.3">
      <c r="B12" t="s">
        <v>129</v>
      </c>
      <c r="C12">
        <v>1.508515722311192</v>
      </c>
      <c r="D12">
        <v>-0.46373014573440308</v>
      </c>
      <c r="E12">
        <v>2.03323046613463E-2</v>
      </c>
      <c r="F12">
        <v>-0.58878733710068043</v>
      </c>
      <c r="G12">
        <v>17500</v>
      </c>
      <c r="H12">
        <v>17100</v>
      </c>
      <c r="I12">
        <v>-1.33044047813984</v>
      </c>
      <c r="J12">
        <v>0.73497972156594149</v>
      </c>
      <c r="K12">
        <v>0.71570464767616193</v>
      </c>
      <c r="L12">
        <v>17500</v>
      </c>
      <c r="M12">
        <v>17000</v>
      </c>
    </row>
    <row r="13" spans="2:13" x14ac:dyDescent="0.3">
      <c r="B13" t="s">
        <v>130</v>
      </c>
      <c r="C13">
        <v>1.508560461303156</v>
      </c>
      <c r="D13">
        <v>-0.46373014573440308</v>
      </c>
      <c r="E13">
        <v>2.050978614187024E-2</v>
      </c>
      <c r="F13">
        <v>-0.58878733710068043</v>
      </c>
      <c r="G13">
        <v>17500</v>
      </c>
      <c r="H13">
        <v>17100</v>
      </c>
      <c r="I13">
        <v>-1.33044047813984</v>
      </c>
      <c r="J13">
        <v>0.74298602199288422</v>
      </c>
      <c r="K13">
        <v>0.71570464767616193</v>
      </c>
      <c r="L13">
        <v>17500</v>
      </c>
      <c r="M13">
        <v>17000</v>
      </c>
    </row>
    <row r="14" spans="2:13" x14ac:dyDescent="0.3">
      <c r="B14" t="s">
        <v>131</v>
      </c>
      <c r="C14">
        <v>1.506520470556397</v>
      </c>
      <c r="D14">
        <v>-0.4514809360170185</v>
      </c>
      <c r="E14">
        <v>2.263149441287372E-2</v>
      </c>
      <c r="F14">
        <v>-0.58661496771217714</v>
      </c>
      <c r="G14">
        <v>17500</v>
      </c>
      <c r="H14">
        <v>17100</v>
      </c>
      <c r="I14">
        <v>-1.321060382916053</v>
      </c>
      <c r="J14">
        <v>0.7458067871538161</v>
      </c>
      <c r="K14">
        <v>0.71712119464944646</v>
      </c>
      <c r="L14">
        <v>17500</v>
      </c>
      <c r="M14">
        <v>17000</v>
      </c>
    </row>
    <row r="15" spans="2:13" x14ac:dyDescent="0.3">
      <c r="B15" t="s">
        <v>132</v>
      </c>
      <c r="C15">
        <v>1.320138167747013</v>
      </c>
      <c r="D15">
        <v>-0.44566292875989438</v>
      </c>
      <c r="E15">
        <v>2.1440104801364851E-2</v>
      </c>
      <c r="F15">
        <v>-0.58577985623971596</v>
      </c>
      <c r="G15">
        <v>17500</v>
      </c>
      <c r="H15">
        <v>17100</v>
      </c>
      <c r="I15">
        <v>-1.343585092348285</v>
      </c>
      <c r="J15">
        <v>0.74383073360955398</v>
      </c>
      <c r="K15">
        <v>0.71594353511734654</v>
      </c>
      <c r="L15">
        <v>17500</v>
      </c>
      <c r="M15">
        <v>17000</v>
      </c>
    </row>
    <row r="16" spans="2:13" x14ac:dyDescent="0.3">
      <c r="B16" t="s">
        <v>133</v>
      </c>
      <c r="C16">
        <v>1.320138167747013</v>
      </c>
      <c r="D16">
        <v>-0.44566292875989438</v>
      </c>
      <c r="E16">
        <v>1.9733805491869639E-2</v>
      </c>
      <c r="F16">
        <v>-0.58577985623971596</v>
      </c>
      <c r="G16">
        <v>17500</v>
      </c>
      <c r="H16">
        <v>17100</v>
      </c>
      <c r="I16">
        <v>-1.343585092348285</v>
      </c>
      <c r="J16">
        <v>0.74281736393283848</v>
      </c>
      <c r="K16">
        <v>0.71594353511734654</v>
      </c>
      <c r="L16">
        <v>17500</v>
      </c>
      <c r="M16">
        <v>17000</v>
      </c>
    </row>
    <row r="17" spans="2:13" x14ac:dyDescent="0.3">
      <c r="B17" t="s">
        <v>134</v>
      </c>
      <c r="C17">
        <v>1.3189730923080289</v>
      </c>
      <c r="D17">
        <v>-0.45386309863751328</v>
      </c>
      <c r="E17">
        <v>1.9180786065678749E-2</v>
      </c>
      <c r="F17">
        <v>-0.58696748354007289</v>
      </c>
      <c r="G17">
        <v>17500</v>
      </c>
      <c r="H17">
        <v>17100</v>
      </c>
      <c r="I17">
        <v>-1.349596149139267</v>
      </c>
      <c r="J17">
        <v>0.74557960478238927</v>
      </c>
      <c r="K17">
        <v>0.71105444382014382</v>
      </c>
      <c r="L17">
        <v>17500</v>
      </c>
      <c r="M17">
        <v>17000</v>
      </c>
    </row>
    <row r="18" spans="2:13" x14ac:dyDescent="0.3">
      <c r="B18" t="s">
        <v>135</v>
      </c>
      <c r="C18">
        <v>1.319087826374401</v>
      </c>
      <c r="D18">
        <v>-0.44837539172027052</v>
      </c>
      <c r="E18">
        <v>1.5876812677530269E-2</v>
      </c>
      <c r="F18">
        <v>-0.58625866050808317</v>
      </c>
      <c r="G18">
        <v>17500</v>
      </c>
      <c r="H18">
        <v>17100</v>
      </c>
      <c r="I18">
        <v>-1.3678047171367309</v>
      </c>
      <c r="J18">
        <v>0.73962475706383612</v>
      </c>
      <c r="K18">
        <v>0.71176385681293297</v>
      </c>
      <c r="L18">
        <v>17500</v>
      </c>
      <c r="M18">
        <v>17000</v>
      </c>
    </row>
    <row r="19" spans="2:13" x14ac:dyDescent="0.3">
      <c r="B19" t="s">
        <v>136</v>
      </c>
      <c r="C19">
        <v>1.317209967463177</v>
      </c>
      <c r="D19">
        <v>-0.45444897959183672</v>
      </c>
      <c r="E19">
        <v>1.260069470105683E-2</v>
      </c>
      <c r="F19">
        <v>-0.58708431790674886</v>
      </c>
      <c r="G19">
        <v>17500</v>
      </c>
      <c r="H19">
        <v>17100</v>
      </c>
      <c r="I19">
        <v>-1.376897959183673</v>
      </c>
      <c r="J19">
        <v>0.73643485329983005</v>
      </c>
      <c r="K19">
        <v>0.70644343265517839</v>
      </c>
      <c r="L19">
        <v>17500</v>
      </c>
      <c r="M19">
        <v>17000</v>
      </c>
    </row>
    <row r="20" spans="2:13" x14ac:dyDescent="0.3">
      <c r="B20" t="s">
        <v>137</v>
      </c>
      <c r="C20">
        <v>1.316760415777855</v>
      </c>
      <c r="D20">
        <v>-0.45715680690048011</v>
      </c>
      <c r="E20">
        <v>9.6886574498514805E-3</v>
      </c>
      <c r="F20">
        <v>-0.58748901977161128</v>
      </c>
      <c r="G20">
        <v>17500</v>
      </c>
      <c r="H20">
        <v>17100</v>
      </c>
      <c r="I20">
        <v>-1.3778989340060219</v>
      </c>
      <c r="J20">
        <v>0.73487109905020354</v>
      </c>
      <c r="K20">
        <v>0.70509626600233288</v>
      </c>
      <c r="L20">
        <v>17500</v>
      </c>
      <c r="M20">
        <v>17000</v>
      </c>
    </row>
    <row r="21" spans="2:13" x14ac:dyDescent="0.3">
      <c r="B21" t="s">
        <v>138</v>
      </c>
      <c r="C21">
        <v>1.3179082592900599</v>
      </c>
      <c r="D21">
        <v>-0.4561432058584215</v>
      </c>
      <c r="E21">
        <v>1.149056782495282E-2</v>
      </c>
      <c r="F21">
        <v>-0.58730775876965613</v>
      </c>
      <c r="G21">
        <v>17500</v>
      </c>
      <c r="H21">
        <v>17100</v>
      </c>
      <c r="I21">
        <v>-1.365174938974776</v>
      </c>
      <c r="J21">
        <v>0.73533805002805241</v>
      </c>
      <c r="K21">
        <v>0.7073181268360117</v>
      </c>
      <c r="L21">
        <v>17500</v>
      </c>
      <c r="M21">
        <v>17000</v>
      </c>
    </row>
    <row r="22" spans="2:13" x14ac:dyDescent="0.3">
      <c r="B22" t="s">
        <v>139</v>
      </c>
      <c r="C22">
        <v>1.5048611390771149</v>
      </c>
      <c r="D22">
        <v>-0.44156685011330532</v>
      </c>
      <c r="E22">
        <v>1.065503069663605E-2</v>
      </c>
      <c r="F22">
        <v>-0.5845921450151057</v>
      </c>
      <c r="G22">
        <v>17500</v>
      </c>
      <c r="H22">
        <v>17100</v>
      </c>
      <c r="I22">
        <v>-1.3454192295241181</v>
      </c>
      <c r="J22">
        <v>0.73619013793553345</v>
      </c>
      <c r="K22">
        <v>0.70886203423967775</v>
      </c>
      <c r="L22">
        <v>17500</v>
      </c>
      <c r="M22">
        <v>17000</v>
      </c>
    </row>
    <row r="23" spans="2:13" x14ac:dyDescent="0.3">
      <c r="B23" t="s">
        <v>140</v>
      </c>
      <c r="C23">
        <v>1.5049046829760451</v>
      </c>
      <c r="D23">
        <v>-0.44156685011330532</v>
      </c>
      <c r="E23">
        <v>8.0338662801179832E-3</v>
      </c>
      <c r="F23">
        <v>-0.5845921450151057</v>
      </c>
      <c r="G23">
        <v>17500</v>
      </c>
      <c r="H23">
        <v>17100</v>
      </c>
      <c r="I23">
        <v>-1.3454192295241181</v>
      </c>
      <c r="J23">
        <v>0.73455067321491674</v>
      </c>
      <c r="K23">
        <v>0.70886203423967775</v>
      </c>
      <c r="L23">
        <v>17500</v>
      </c>
      <c r="M23">
        <v>17000</v>
      </c>
    </row>
    <row r="24" spans="2:13" x14ac:dyDescent="0.3">
      <c r="B24" t="s">
        <v>141</v>
      </c>
      <c r="C24">
        <v>1.326816311902359</v>
      </c>
      <c r="D24">
        <v>-0.45065971399225718</v>
      </c>
      <c r="E24">
        <v>-3.118018387956654E-3</v>
      </c>
      <c r="F24">
        <v>-0.5856240420564095</v>
      </c>
      <c r="G24">
        <v>17500</v>
      </c>
      <c r="H24">
        <v>17100</v>
      </c>
      <c r="I24">
        <v>-1.353875325906613</v>
      </c>
      <c r="J24">
        <v>0.71136754337734287</v>
      </c>
      <c r="K24">
        <v>0.6984715875721591</v>
      </c>
      <c r="L24">
        <v>17500</v>
      </c>
      <c r="M24">
        <v>17000</v>
      </c>
    </row>
    <row r="25" spans="2:13" x14ac:dyDescent="0.3">
      <c r="B25" t="s">
        <v>142</v>
      </c>
      <c r="C25">
        <v>1.334410238886645</v>
      </c>
      <c r="D25">
        <v>-0.44388246628131017</v>
      </c>
      <c r="E25">
        <v>-1.2234276251309611E-2</v>
      </c>
      <c r="F25">
        <v>-0.58480103433414743</v>
      </c>
      <c r="G25">
        <v>17500</v>
      </c>
      <c r="H25">
        <v>17100</v>
      </c>
      <c r="I25">
        <v>-1.415863840719332</v>
      </c>
      <c r="J25">
        <v>0.70508634965696715</v>
      </c>
      <c r="K25">
        <v>0.69330555954604223</v>
      </c>
      <c r="L25">
        <v>17500</v>
      </c>
      <c r="M25">
        <v>17000</v>
      </c>
    </row>
    <row r="26" spans="2:13" x14ac:dyDescent="0.3">
      <c r="B26" t="s">
        <v>143</v>
      </c>
      <c r="C26">
        <v>1.333302272954175</v>
      </c>
      <c r="D26">
        <v>-0.44388246628131017</v>
      </c>
      <c r="E26">
        <v>-2.3400013291686051E-2</v>
      </c>
      <c r="F26">
        <v>-0.58480103433414743</v>
      </c>
      <c r="G26">
        <v>17500</v>
      </c>
      <c r="H26">
        <v>17100</v>
      </c>
      <c r="I26">
        <v>-1.415863840719332</v>
      </c>
      <c r="J26">
        <v>0.68676148069382603</v>
      </c>
      <c r="K26">
        <v>0.69330555954604223</v>
      </c>
      <c r="L26">
        <v>17500</v>
      </c>
      <c r="M26">
        <v>17000</v>
      </c>
    </row>
    <row r="27" spans="2:13" x14ac:dyDescent="0.3">
      <c r="B27" t="s">
        <v>144</v>
      </c>
      <c r="C27">
        <v>1.333302272954175</v>
      </c>
      <c r="D27">
        <v>-0.44388246628131017</v>
      </c>
      <c r="E27">
        <v>-2.701131965816482E-2</v>
      </c>
      <c r="F27">
        <v>-0.58480103433414743</v>
      </c>
      <c r="G27">
        <v>17500</v>
      </c>
      <c r="H27">
        <v>17100</v>
      </c>
      <c r="I27">
        <v>-1.415863840719332</v>
      </c>
      <c r="J27">
        <v>0.68514311376454584</v>
      </c>
      <c r="K27">
        <v>0.69330555954604223</v>
      </c>
      <c r="L27">
        <v>17500</v>
      </c>
      <c r="M27">
        <v>17000</v>
      </c>
    </row>
    <row r="28" spans="2:13" x14ac:dyDescent="0.3">
      <c r="B28" t="s">
        <v>145</v>
      </c>
      <c r="C28">
        <v>1.3331227766880549</v>
      </c>
      <c r="D28">
        <v>-0.46638846737481032</v>
      </c>
      <c r="E28">
        <v>-3.032945418783806E-2</v>
      </c>
      <c r="F28">
        <v>-0.58756789035175017</v>
      </c>
      <c r="G28">
        <v>17500</v>
      </c>
      <c r="H28">
        <v>17100</v>
      </c>
      <c r="I28">
        <v>-1.3726100151745071</v>
      </c>
      <c r="J28">
        <v>0.68147516800524499</v>
      </c>
      <c r="K28">
        <v>0.67969971848608068</v>
      </c>
      <c r="L28">
        <v>17500</v>
      </c>
      <c r="M28">
        <v>17000</v>
      </c>
    </row>
    <row r="29" spans="2:13" x14ac:dyDescent="0.3">
      <c r="B29" t="s">
        <v>146</v>
      </c>
      <c r="C29">
        <v>1.3356487697487121</v>
      </c>
      <c r="D29">
        <v>-0.47015430937147162</v>
      </c>
      <c r="E29">
        <v>-3.0519696761934612E-2</v>
      </c>
      <c r="F29">
        <v>-0.58809750280384443</v>
      </c>
      <c r="G29">
        <v>17500</v>
      </c>
      <c r="H29">
        <v>17100</v>
      </c>
      <c r="I29">
        <v>-1.374030861874294</v>
      </c>
      <c r="J29">
        <v>0.68356546324772927</v>
      </c>
      <c r="K29">
        <v>0.6763724641178892</v>
      </c>
      <c r="L29">
        <v>17500</v>
      </c>
      <c r="M29">
        <v>17000</v>
      </c>
    </row>
    <row r="30" spans="2:13" x14ac:dyDescent="0.3">
      <c r="B30" t="s">
        <v>147</v>
      </c>
      <c r="C30">
        <v>1.336997752489584</v>
      </c>
      <c r="D30">
        <v>-0.47015430937147162</v>
      </c>
      <c r="E30">
        <v>-3.9113964686998397E-2</v>
      </c>
      <c r="F30">
        <v>-0.58809750280384443</v>
      </c>
      <c r="G30">
        <v>17500</v>
      </c>
      <c r="H30">
        <v>17100</v>
      </c>
      <c r="I30">
        <v>-1.374030861874294</v>
      </c>
      <c r="J30">
        <v>0.67594221508828245</v>
      </c>
      <c r="K30">
        <v>0.6763724641178892</v>
      </c>
      <c r="L30">
        <v>17500</v>
      </c>
      <c r="M30">
        <v>17000</v>
      </c>
    </row>
    <row r="31" spans="2:13" x14ac:dyDescent="0.3">
      <c r="B31" t="s">
        <v>148</v>
      </c>
      <c r="C31">
        <v>1.340709652804273</v>
      </c>
      <c r="D31">
        <v>-0.46670174383644009</v>
      </c>
      <c r="E31">
        <v>-3.9526420928072473E-2</v>
      </c>
      <c r="F31">
        <v>-0.58741377842118714</v>
      </c>
      <c r="G31">
        <v>17500</v>
      </c>
      <c r="H31">
        <v>17100</v>
      </c>
      <c r="I31">
        <v>-1.376578472639808</v>
      </c>
      <c r="J31">
        <v>0.66904813405774055</v>
      </c>
      <c r="K31">
        <v>0.67533849953163583</v>
      </c>
      <c r="L31">
        <v>17500</v>
      </c>
      <c r="M31">
        <v>17000</v>
      </c>
    </row>
    <row r="32" spans="2:13" x14ac:dyDescent="0.3">
      <c r="B32" t="s">
        <v>149</v>
      </c>
      <c r="C32">
        <v>1.347421256526866</v>
      </c>
      <c r="D32">
        <v>-0.45621458254627878</v>
      </c>
      <c r="E32">
        <v>-3.976736974667603E-2</v>
      </c>
      <c r="F32">
        <v>-0.58556024378809191</v>
      </c>
      <c r="G32">
        <v>17500</v>
      </c>
      <c r="H32">
        <v>17100</v>
      </c>
      <c r="I32">
        <v>-1.366074801662259</v>
      </c>
      <c r="J32">
        <v>0.66898917218815457</v>
      </c>
      <c r="K32">
        <v>0.67932489451476796</v>
      </c>
      <c r="L32">
        <v>17500</v>
      </c>
      <c r="M32">
        <v>17000</v>
      </c>
    </row>
    <row r="33" spans="2:13" x14ac:dyDescent="0.3">
      <c r="B33" t="s">
        <v>150</v>
      </c>
      <c r="C33">
        <v>1.347421256526866</v>
      </c>
      <c r="D33">
        <v>-0.45621458254627878</v>
      </c>
      <c r="E33">
        <v>-3.976736974667603E-2</v>
      </c>
      <c r="F33">
        <v>-0.58556024378809191</v>
      </c>
      <c r="G33">
        <v>17500</v>
      </c>
      <c r="H33">
        <v>17100</v>
      </c>
      <c r="I33">
        <v>-1.366074801662259</v>
      </c>
      <c r="J33">
        <v>0.66898917218815457</v>
      </c>
      <c r="K33">
        <v>0.67932489451476796</v>
      </c>
      <c r="L33">
        <v>17500</v>
      </c>
      <c r="M33">
        <v>17000</v>
      </c>
    </row>
    <row r="34" spans="2:13" x14ac:dyDescent="0.3">
      <c r="B34" t="s">
        <v>151</v>
      </c>
      <c r="C34">
        <v>1.347711698757555</v>
      </c>
      <c r="D34">
        <v>-0.45621458254627878</v>
      </c>
      <c r="E34">
        <v>-4.4880890616893467E-2</v>
      </c>
      <c r="F34">
        <v>-0.58556024378809191</v>
      </c>
      <c r="G34">
        <v>17500</v>
      </c>
      <c r="H34">
        <v>17100</v>
      </c>
      <c r="I34">
        <v>-1.366074801662259</v>
      </c>
      <c r="J34">
        <v>0.65899899361791237</v>
      </c>
      <c r="K34">
        <v>0.67932489451476796</v>
      </c>
      <c r="L34">
        <v>17500</v>
      </c>
      <c r="M34">
        <v>17000</v>
      </c>
    </row>
    <row r="35" spans="2:13" x14ac:dyDescent="0.3">
      <c r="B35" t="s">
        <v>152</v>
      </c>
      <c r="C35">
        <v>1.347711698757555</v>
      </c>
      <c r="D35">
        <v>-0.45621458254627878</v>
      </c>
      <c r="E35">
        <v>-4.4880890616893467E-2</v>
      </c>
      <c r="F35">
        <v>-0.58556024378809191</v>
      </c>
      <c r="G35">
        <v>17500</v>
      </c>
      <c r="H35">
        <v>17100</v>
      </c>
      <c r="I35">
        <v>-1.366074801662259</v>
      </c>
      <c r="J35">
        <v>0.65899899361791237</v>
      </c>
      <c r="K35">
        <v>0.67932489451476796</v>
      </c>
      <c r="L35">
        <v>17500</v>
      </c>
      <c r="M35">
        <v>17000</v>
      </c>
    </row>
    <row r="36" spans="2:13" x14ac:dyDescent="0.3">
      <c r="B36" t="s">
        <v>153</v>
      </c>
      <c r="C36">
        <v>1.347711698757555</v>
      </c>
      <c r="D36">
        <v>-0.45621458254627878</v>
      </c>
      <c r="E36">
        <v>-4.3994753606895261E-2</v>
      </c>
      <c r="F36">
        <v>-0.58556024378809191</v>
      </c>
      <c r="G36">
        <v>17500</v>
      </c>
      <c r="H36">
        <v>17100</v>
      </c>
      <c r="I36">
        <v>-1.366074801662259</v>
      </c>
      <c r="J36">
        <v>0.65988382986696648</v>
      </c>
      <c r="K36">
        <v>0.67932489451476796</v>
      </c>
      <c r="L36">
        <v>17500</v>
      </c>
      <c r="M36">
        <v>17000</v>
      </c>
    </row>
    <row r="37" spans="2:13" x14ac:dyDescent="0.3">
      <c r="B37" t="s">
        <v>154</v>
      </c>
      <c r="C37">
        <v>1.347658481510303</v>
      </c>
      <c r="D37">
        <v>-0.45185356099061691</v>
      </c>
      <c r="E37">
        <v>-4.4572643462368132E-2</v>
      </c>
      <c r="F37">
        <v>-0.58518159530189862</v>
      </c>
      <c r="G37">
        <v>17500</v>
      </c>
      <c r="H37">
        <v>17100</v>
      </c>
      <c r="I37">
        <v>-1.381325949853869</v>
      </c>
      <c r="J37">
        <v>0.66052679021018146</v>
      </c>
      <c r="K37">
        <v>0.68329152175152519</v>
      </c>
      <c r="L37">
        <v>17500</v>
      </c>
      <c r="M37">
        <v>17000</v>
      </c>
    </row>
    <row r="38" spans="2:13" x14ac:dyDescent="0.3">
      <c r="B38" t="s">
        <v>155</v>
      </c>
      <c r="C38">
        <v>1.3474047224617109</v>
      </c>
      <c r="D38">
        <v>-0.46953765269831449</v>
      </c>
      <c r="E38">
        <v>-4.3538821548404667E-2</v>
      </c>
      <c r="F38">
        <v>-0.58857436365711679</v>
      </c>
      <c r="G38">
        <v>17500</v>
      </c>
      <c r="H38">
        <v>17100</v>
      </c>
      <c r="I38">
        <v>-1.450054120921602</v>
      </c>
      <c r="J38">
        <v>0.66004061064543684</v>
      </c>
      <c r="K38">
        <v>0.67261157402123051</v>
      </c>
      <c r="L38">
        <v>17500</v>
      </c>
      <c r="M38">
        <v>17000</v>
      </c>
    </row>
    <row r="39" spans="2:13" x14ac:dyDescent="0.3">
      <c r="B39" t="s">
        <v>156</v>
      </c>
      <c r="C39">
        <v>1.3474047224617109</v>
      </c>
      <c r="D39">
        <v>-0.46953765269831449</v>
      </c>
      <c r="E39">
        <v>-4.478760675077427E-2</v>
      </c>
      <c r="F39">
        <v>-0.58857436365711679</v>
      </c>
      <c r="G39">
        <v>17500</v>
      </c>
      <c r="H39">
        <v>17100</v>
      </c>
      <c r="I39">
        <v>-1.450054120921602</v>
      </c>
      <c r="J39">
        <v>0.65910560245303584</v>
      </c>
      <c r="K39">
        <v>0.67261157402123051</v>
      </c>
      <c r="L39">
        <v>17500</v>
      </c>
      <c r="M39">
        <v>17000</v>
      </c>
    </row>
    <row r="40" spans="2:13" x14ac:dyDescent="0.3">
      <c r="B40" t="s">
        <v>157</v>
      </c>
      <c r="C40">
        <v>1.3475536393494429</v>
      </c>
      <c r="D40">
        <v>-0.46953765269831449</v>
      </c>
      <c r="E40">
        <v>-4.5400734710814412E-2</v>
      </c>
      <c r="F40">
        <v>-0.58857436365711679</v>
      </c>
      <c r="G40">
        <v>17500</v>
      </c>
      <c r="H40">
        <v>17100</v>
      </c>
      <c r="I40">
        <v>-1.450054120921602</v>
      </c>
      <c r="J40">
        <v>0.65158597459023393</v>
      </c>
      <c r="K40">
        <v>0.67261157402123051</v>
      </c>
      <c r="L40">
        <v>17500</v>
      </c>
      <c r="M40">
        <v>17000</v>
      </c>
    </row>
    <row r="41" spans="2:13" x14ac:dyDescent="0.3">
      <c r="B41" t="s">
        <v>158</v>
      </c>
      <c r="C41">
        <v>1.3475536393494429</v>
      </c>
      <c r="D41">
        <v>-0.46953765269831449</v>
      </c>
      <c r="E41">
        <v>-4.5400734710814412E-2</v>
      </c>
      <c r="F41">
        <v>-0.58857436365711679</v>
      </c>
      <c r="G41">
        <v>17500</v>
      </c>
      <c r="H41">
        <v>17100</v>
      </c>
      <c r="I41">
        <v>-1.450054120921602</v>
      </c>
      <c r="J41">
        <v>0.65158597459023393</v>
      </c>
      <c r="K41">
        <v>0.67261157402123051</v>
      </c>
      <c r="L41">
        <v>17500</v>
      </c>
      <c r="M41">
        <v>17000</v>
      </c>
    </row>
    <row r="42" spans="2:13" x14ac:dyDescent="0.3">
      <c r="B42" t="s">
        <v>159</v>
      </c>
      <c r="C42">
        <v>1.3526576081526629</v>
      </c>
      <c r="D42">
        <v>-0.47514540519581228</v>
      </c>
      <c r="E42">
        <v>-0.23656609195402301</v>
      </c>
      <c r="F42">
        <v>-2.6224499992862142E-2</v>
      </c>
      <c r="G42">
        <v>17500</v>
      </c>
      <c r="H42">
        <v>16500</v>
      </c>
      <c r="I42">
        <v>-1.470725087243117</v>
      </c>
      <c r="J42">
        <v>0.63365062260536398</v>
      </c>
      <c r="K42">
        <v>0.66998815115133692</v>
      </c>
      <c r="L42">
        <v>17500</v>
      </c>
      <c r="M42">
        <v>17000</v>
      </c>
    </row>
    <row r="43" spans="2:13" x14ac:dyDescent="0.3">
      <c r="B43" t="s">
        <v>160</v>
      </c>
      <c r="C43">
        <v>1.3551873581450979</v>
      </c>
      <c r="D43">
        <v>-0.47185031185031179</v>
      </c>
      <c r="E43">
        <v>-0.24188581743531659</v>
      </c>
      <c r="F43">
        <v>-2.0006071206580031E-2</v>
      </c>
      <c r="G43">
        <v>17500</v>
      </c>
      <c r="H43">
        <v>16500</v>
      </c>
      <c r="I43">
        <v>-1.8820790020790019</v>
      </c>
      <c r="J43">
        <v>0.62398683325664528</v>
      </c>
      <c r="K43">
        <v>0.62540655401205569</v>
      </c>
      <c r="L43">
        <v>17500</v>
      </c>
      <c r="M43">
        <v>17000</v>
      </c>
    </row>
  </sheetData>
  <mergeCells count="2">
    <mergeCell ref="I2:M2"/>
    <mergeCell ref="C2:H2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MAINOI</vt:lpstr>
      <vt:lpstr>Data</vt:lpstr>
      <vt:lpstr>Strategy</vt:lpstr>
      <vt:lpstr>Link</vt:lpstr>
      <vt:lpstr>Records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sbsingh</dc:creator>
  <cp:lastModifiedBy>chandan kumar</cp:lastModifiedBy>
  <dcterms:created xsi:type="dcterms:W3CDTF">2015-06-05T18:17:20Z</dcterms:created>
  <dcterms:modified xsi:type="dcterms:W3CDTF">2025-08-28T08:55:24Z</dcterms:modified>
</cp:coreProperties>
</file>